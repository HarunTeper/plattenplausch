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" sheetId="2" r:id="rId2"/>
    <sheet name="Scores" sheetId="3" r:id="rId3"/>
    <sheet name="Ranking" sheetId="4" r:id="rId4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p1</t>
        </is>
      </c>
      <c r="E1" t="inlineStr">
        <is>
          <t xml:space="preserve">p2</t>
        </is>
      </c>
      <c r="F1" t="inlineStr">
        <is>
          <t xml:space="preserve">p3</t>
        </is>
      </c>
      <c r="G1" t="inlineStr">
        <is>
          <t xml:space="preserve">p4</t>
        </is>
      </c>
      <c r="H1" t="inlineStr">
        <is>
          <t xml:space="preserve">p5</t>
        </is>
      </c>
      <c r="I1" t="inlineStr">
        <is>
          <t xml:space="preserve">p6</t>
        </is>
      </c>
      <c r="J1" t="inlineStr">
        <is>
          <t xml:space="preserve">token</t>
        </is>
      </c>
      <c r="K1" t="inlineStr">
        <is>
          <t xml:space="preserve">confirmed</t>
        </is>
      </c>
      <c r="L1" t="inlineStr">
        <is>
          <t xml:space="preserve">confirmedAt</t>
        </is>
      </c>
      <c r="M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p001</t>
        </is>
      </c>
      <c r="B2" t="inlineStr">
        <is>
          <t xml:space="preserve">Dang Qiu</t>
        </is>
      </c>
      <c r="C2" t="inlineStr">
        <is>
          <t xml:space="preserve">Borussia Düsseldorf</t>
        </is>
      </c>
      <c r="D2" t="inlineStr">
        <is>
          <t xml:space="preserve">Offensiv</t>
        </is>
      </c>
      <c r="E2">
        <v>28</v>
      </c>
    </row>
    <row r="3">
      <c r="A3" t="inlineStr">
        <is>
          <t xml:space="preserve">p002</t>
        </is>
      </c>
      <c r="B3" t="inlineStr">
        <is>
          <t xml:space="preserve">Dimitrij Ovtcharov</t>
        </is>
      </c>
      <c r="C3" t="inlineStr">
        <is>
          <t xml:space="preserve">TTC Neu-Ulm</t>
        </is>
      </c>
      <c r="D3" t="inlineStr">
        <is>
          <t xml:space="preserve">Offensiv</t>
        </is>
      </c>
      <c r="E3">
        <v>27</v>
      </c>
    </row>
    <row r="4">
      <c r="A4" t="inlineStr">
        <is>
          <t xml:space="preserve">p003</t>
        </is>
      </c>
      <c r="B4" t="inlineStr">
        <is>
          <t xml:space="preserve">Timo Boll</t>
        </is>
      </c>
      <c r="C4" t="inlineStr">
        <is>
          <t xml:space="preserve">Borussia Düsseldorf</t>
        </is>
      </c>
      <c r="D4" t="inlineStr">
        <is>
          <t xml:space="preserve">Allrounder</t>
        </is>
      </c>
      <c r="E4">
        <v>24</v>
      </c>
    </row>
    <row r="5">
      <c r="A5" t="inlineStr">
        <is>
          <t xml:space="preserve">p004</t>
        </is>
      </c>
      <c r="B5" t="inlineStr">
        <is>
          <t xml:space="preserve">Patrick Franziska</t>
        </is>
      </c>
      <c r="C5" t="inlineStr">
        <is>
          <t xml:space="preserve">1. FC Saarbrücken</t>
        </is>
      </c>
      <c r="D5" t="inlineStr">
        <is>
          <t xml:space="preserve">Offensiv</t>
        </is>
      </c>
      <c r="E5">
        <v>23</v>
      </c>
    </row>
    <row r="6">
      <c r="A6" t="inlineStr">
        <is>
          <t xml:space="preserve">p005</t>
        </is>
      </c>
      <c r="B6" t="inlineStr">
        <is>
          <t xml:space="preserve">Kay Stumper</t>
        </is>
      </c>
      <c r="C6" t="inlineStr">
        <is>
          <t xml:space="preserve">TTC Neu-Ulm</t>
        </is>
      </c>
      <c r="D6" t="inlineStr">
        <is>
          <t xml:space="preserve">Allrounder</t>
        </is>
      </c>
      <c r="E6">
        <v>18</v>
      </c>
    </row>
    <row r="7">
      <c r="A7" t="inlineStr">
        <is>
          <t xml:space="preserve">p006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p007</t>
        </is>
      </c>
      <c r="B8" t="inlineStr">
        <is>
          <t xml:space="preserve">Darko Jorgic</t>
        </is>
      </c>
      <c r="C8" t="inlineStr">
        <is>
          <t xml:space="preserve">1. FC Saarbrücken</t>
        </is>
      </c>
      <c r="D8" t="inlineStr">
        <is>
          <t xml:space="preserve">Offensiv</t>
        </is>
      </c>
      <c r="E8">
        <v>21</v>
      </c>
    </row>
    <row r="9">
      <c r="A9" t="inlineStr">
        <is>
          <t xml:space="preserve">p008</t>
        </is>
      </c>
      <c r="B9" t="inlineStr">
        <is>
          <t xml:space="preserve">Ricardo Walther</t>
        </is>
      </c>
      <c r="C9" t="inlineStr">
        <is>
          <t xml:space="preserve">TTC Neu-Ulm</t>
        </is>
      </c>
      <c r="D9" t="inlineStr">
        <is>
          <t xml:space="preserve">Allrounder</t>
        </is>
      </c>
      <c r="E9">
        <v>16</v>
      </c>
    </row>
    <row r="10">
      <c r="A10" t="inlineStr">
        <is>
          <t xml:space="preserve">p009</t>
        </is>
      </c>
      <c r="B10" t="inlineStr">
        <is>
          <t xml:space="preserve">Cedric Meissner</t>
        </is>
      </c>
      <c r="C10" t="inlineStr">
        <is>
          <t xml:space="preserve">ASV Grünwettersbach</t>
        </is>
      </c>
      <c r="D10" t="inlineStr">
        <is>
          <t xml:space="preserve">Offensiv</t>
        </is>
      </c>
      <c r="E10">
        <v>14</v>
      </c>
    </row>
    <row r="11">
      <c r="A11" t="inlineStr">
        <is>
          <t xml:space="preserve">p010</t>
        </is>
      </c>
      <c r="B11" t="inlineStr">
        <is>
          <t xml:space="preserve">Benedikt Duda</t>
        </is>
      </c>
      <c r="C11" t="inlineStr">
        <is>
          <t xml:space="preserve">ASV Grünwettersbach</t>
        </is>
      </c>
      <c r="D11" t="inlineStr">
        <is>
          <t xml:space="preserve">Allrounder</t>
        </is>
      </c>
      <c r="E11">
        <v>17</v>
      </c>
    </row>
    <row r="12">
      <c r="A12" t="inlineStr">
        <is>
          <t xml:space="preserve">p011</t>
        </is>
      </c>
      <c r="B12" t="inlineStr">
        <is>
          <t xml:space="preserve">Fan Bo Meng</t>
        </is>
      </c>
      <c r="C12" t="inlineStr">
        <is>
          <t xml:space="preserve">TTF Liebherr Ochsenhausen</t>
        </is>
      </c>
      <c r="D12" t="inlineStr">
        <is>
          <t xml:space="preserve">Offensiv</t>
        </is>
      </c>
      <c r="E12">
        <v>15</v>
      </c>
    </row>
    <row r="13">
      <c r="A13" t="inlineStr">
        <is>
          <t xml:space="preserve">p012</t>
        </is>
      </c>
      <c r="B13" t="inlineStr">
        <is>
          <t xml:space="preserve">Kirill Gerassimenko</t>
        </is>
      </c>
      <c r="C13" t="inlineStr">
        <is>
          <t xml:space="preserve">TTF Liebherr Ochsenhausen</t>
        </is>
      </c>
      <c r="D13" t="inlineStr">
        <is>
          <t xml:space="preserve">Offensiv</t>
        </is>
      </c>
      <c r="E13">
        <v>15</v>
      </c>
    </row>
    <row r="14">
      <c r="A14" t="inlineStr">
        <is>
          <t xml:space="preserve">p013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p014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p015</t>
        </is>
      </c>
      <c r="B16" t="inlineStr">
        <is>
          <t xml:space="preserve">Mattias Falck</t>
        </is>
      </c>
      <c r="C16" t="inlineStr">
        <is>
          <t xml:space="preserve">TTC Neu-Ulm</t>
        </is>
      </c>
      <c r="D16" t="inlineStr">
        <is>
          <t xml:space="preserve">Offensiv</t>
        </is>
      </c>
      <c r="E16">
        <v>20</v>
      </c>
    </row>
    <row r="17">
      <c r="A17" t="inlineStr">
        <is>
          <t xml:space="preserve">p016</t>
        </is>
      </c>
      <c r="B17" t="inlineStr">
        <is>
          <t xml:space="preserve">Lim Jonghoon</t>
        </is>
      </c>
      <c r="C17" t="inlineStr">
        <is>
          <t xml:space="preserve">Borussia Düsseldorf</t>
        </is>
      </c>
      <c r="D17" t="inlineStr">
        <is>
          <t xml:space="preserve">Offensiv</t>
        </is>
      </c>
      <c r="E17">
        <v>19</v>
      </c>
    </row>
    <row r="18">
      <c r="A18" t="inlineStr">
        <is>
          <t xml:space="preserve">p017</t>
        </is>
      </c>
      <c r="B18" t="inlineStr">
        <is>
          <t xml:space="preserve">Wang Yang</t>
        </is>
      </c>
      <c r="C18" t="inlineStr">
        <is>
          <t xml:space="preserve">1. FC Saarbrücken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p018</t>
        </is>
      </c>
      <c r="B19" t="inlineStr">
        <is>
          <t xml:space="preserve">Tom Closset</t>
        </is>
      </c>
      <c r="C19" t="inlineStr">
        <is>
          <t xml:space="preserve">TTF Liebherr Ochsenhausen</t>
        </is>
      </c>
      <c r="D19" t="inlineStr">
        <is>
          <t xml:space="preserve">Offensiv</t>
        </is>
      </c>
      <c r="E19">
        <v>13</v>
      </c>
    </row>
    <row r="20">
      <c r="A20" t="inlineStr">
        <is>
          <t xml:space="preserve">p019</t>
        </is>
      </c>
      <c r="B20" t="inlineStr">
        <is>
          <t xml:space="preserve">Daniel Rinderer</t>
        </is>
      </c>
      <c r="C20" t="inlineStr">
        <is>
          <t xml:space="preserve">ASV Grünwettersbach</t>
        </is>
      </c>
      <c r="D20" t="inlineStr">
        <is>
          <t xml:space="preserve">Abwehr</t>
        </is>
      </c>
      <c r="E20">
        <v>9</v>
      </c>
    </row>
    <row r="21">
      <c r="A21" t="inlineStr">
        <is>
          <t xml:space="preserve">p020</t>
        </is>
      </c>
      <c r="B21" t="inlineStr">
        <is>
          <t xml:space="preserve">Gerald Pollak</t>
        </is>
      </c>
      <c r="C21" t="inlineStr">
        <is>
          <t xml:space="preserve">Post SV Mühlhausen</t>
        </is>
      </c>
      <c r="D21" t="inlineStr">
        <is>
          <t xml:space="preserve">Allrounder</t>
        </is>
      </c>
      <c r="E21">
        <v>8</v>
      </c>
    </row>
    <row r="22">
      <c r="A22" t="inlineStr">
        <is>
          <t xml:space="preserve">p021</t>
        </is>
      </c>
      <c r="B22" t="inlineStr">
        <is>
          <t xml:space="preserve">Andreas Levenko</t>
        </is>
      </c>
      <c r="C22" t="inlineStr">
        <is>
          <t xml:space="preserve">TTC Fulda-Maberzell</t>
        </is>
      </c>
      <c r="D22" t="inlineStr">
        <is>
          <t xml:space="preserve">Allrounder</t>
        </is>
      </c>
      <c r="E22">
        <v>10</v>
      </c>
    </row>
    <row r="23">
      <c r="A23" t="inlineStr">
        <is>
          <t xml:space="preserve">p022</t>
        </is>
      </c>
      <c r="B23" t="inlineStr">
        <is>
          <t xml:space="preserve">Filip Zeljko</t>
        </is>
      </c>
      <c r="C23" t="inlineStr">
        <is>
          <t xml:space="preserve">Post SV Mühlhausen</t>
        </is>
      </c>
      <c r="D23" t="inlineStr">
        <is>
          <t xml:space="preserve">Offensiv</t>
        </is>
      </c>
      <c r="E23">
        <v>9</v>
      </c>
    </row>
    <row r="24">
      <c r="A24" t="inlineStr">
        <is>
          <t xml:space="preserve">p023</t>
        </is>
      </c>
      <c r="B24" t="inlineStr">
        <is>
          <t xml:space="preserve">Hugo Calderano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26</v>
      </c>
    </row>
    <row r="25">
      <c r="A25" t="inlineStr">
        <is>
          <t xml:space="preserve">p024</t>
        </is>
      </c>
      <c r="B25" t="inlineStr">
        <is>
          <t xml:space="preserve">Vladimir Sidorenko</t>
        </is>
      </c>
      <c r="C25" t="inlineStr">
        <is>
          <t xml:space="preserve">TTC Fulda-Maberzell</t>
        </is>
      </c>
      <c r="D25" t="inlineStr">
        <is>
          <t xml:space="preserve">Allrounder</t>
        </is>
      </c>
      <c r="E25">
        <v>11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MD1</t>
        </is>
      </c>
      <c r="D1" t="inlineStr">
        <is>
          <t xml:space="preserve">MD2</t>
        </is>
      </c>
      <c r="E1" t="inlineStr">
        <is>
          <t xml:space="preserve">MD3</t>
        </is>
      </c>
      <c r="F1" t="inlineStr">
        <is>
          <t xml:space="preserve">MD4</t>
        </is>
      </c>
      <c r="G1" t="inlineStr">
        <is>
          <t xml:space="preserve">MD5</t>
        </is>
      </c>
      <c r="H1" t="inlineStr">
        <is>
          <t xml:space="preserve">MD6</t>
        </is>
      </c>
      <c r="I1" t="inlineStr">
        <is>
          <t xml:space="preserve">MD7</t>
        </is>
      </c>
      <c r="J1" t="inlineStr">
        <is>
          <t xml:space="preserve">MD8</t>
        </is>
      </c>
      <c r="K1" t="inlineStr">
        <is>
          <t xml:space="preserve">MD9</t>
        </is>
      </c>
      <c r="L1" t="inlineStr">
        <is>
          <t xml:space="preserve">MD10</t>
        </is>
      </c>
      <c r="M1" t="inlineStr">
        <is>
          <t xml:space="preserve">MD11</t>
        </is>
      </c>
      <c r="N1" t="inlineStr">
        <is>
          <t xml:space="preserve">MD12</t>
        </is>
      </c>
      <c r="O1" t="inlineStr">
        <is>
          <t xml:space="preserve">MD13</t>
        </is>
      </c>
      <c r="P1" t="inlineStr">
        <is>
          <t xml:space="preserve">MD14</t>
        </is>
      </c>
      <c r="Q1" t="inlineStr">
        <is>
          <t xml:space="preserve">MD15</t>
        </is>
      </c>
      <c r="R1" t="inlineStr">
        <is>
          <t xml:space="preserve">MD16</t>
        </is>
      </c>
      <c r="S1" t="inlineStr">
        <is>
          <t xml:space="preserve">MD17</t>
        </is>
      </c>
      <c r="T1" t="inlineStr">
        <is>
          <t xml:space="preserve">MD18</t>
        </is>
      </c>
      <c r="U1" t="inlineStr">
        <is>
          <t xml:space="preserve">MD19</t>
        </is>
      </c>
      <c r="V1" t="inlineStr">
        <is>
          <t xml:space="preserve">MD20</t>
        </is>
      </c>
      <c r="W1" t="inlineStr">
        <is>
          <t xml:space="preserve">MD21</t>
        </is>
      </c>
      <c r="X1" t="inlineStr">
        <is>
          <t xml:space="preserve">MD22</t>
        </is>
      </c>
      <c r="Y1" t="inlineStr">
        <is>
          <t xml:space="preserve">playerTotal</t>
        </is>
      </c>
    </row>
    <row r="2">
      <c r="A2" t="inlineStr">
        <is>
          <t xml:space="preserve">p001</t>
        </is>
      </c>
      <c r="B2" t="inlineStr">
        <is>
          <t xml:space="preserve">Dang Qiu</t>
        </is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f>SUM(C2:X2)</f>
      </c>
    </row>
    <row r="3">
      <c r="A3" t="inlineStr">
        <is>
          <t xml:space="preserve">p002</t>
        </is>
      </c>
      <c r="B3" t="inlineStr">
        <is>
          <t xml:space="preserve">Dimitrij Ovtcharov</t>
        </is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f>SUM(C3:X3)</f>
      </c>
    </row>
    <row r="4">
      <c r="A4" t="inlineStr">
        <is>
          <t xml:space="preserve">p003</t>
        </is>
      </c>
      <c r="B4" t="inlineStr">
        <is>
          <t xml:space="preserve">Timo Boll</t>
        </is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f>SUM(C4:X4)</f>
      </c>
    </row>
    <row r="5">
      <c r="A5" t="inlineStr">
        <is>
          <t xml:space="preserve">p004</t>
        </is>
      </c>
      <c r="B5" t="inlineStr">
        <is>
          <t xml:space="preserve">Patrick Franziska</t>
        </is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f>SUM(C5:X5)</f>
      </c>
    </row>
    <row r="6">
      <c r="A6" t="inlineStr">
        <is>
          <t xml:space="preserve">p005</t>
        </is>
      </c>
      <c r="B6" t="inlineStr">
        <is>
          <t xml:space="preserve">Kay Stumper</t>
        </is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f>SUM(C6:X6)</f>
      </c>
    </row>
    <row r="7">
      <c r="A7" t="inlineStr">
        <is>
          <t xml:space="preserve">p006</t>
        </is>
      </c>
      <c r="B7" t="inlineStr">
        <is>
          <t xml:space="preserve">Anton Källberg</t>
        </is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f>SUM(C7:X7)</f>
      </c>
    </row>
    <row r="8">
      <c r="A8" t="inlineStr">
        <is>
          <t xml:space="preserve">p007</t>
        </is>
      </c>
      <c r="B8" t="inlineStr">
        <is>
          <t xml:space="preserve">Darko Jorgic</t>
        </is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f>SUM(C8:X8)</f>
      </c>
    </row>
    <row r="9">
      <c r="A9" t="inlineStr">
        <is>
          <t xml:space="preserve">p008</t>
        </is>
      </c>
      <c r="B9" t="inlineStr">
        <is>
          <t xml:space="preserve">Ricardo Walther</t>
        </is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f>SUM(C9:X9)</f>
      </c>
    </row>
    <row r="10">
      <c r="A10" t="inlineStr">
        <is>
          <t xml:space="preserve">p009</t>
        </is>
      </c>
      <c r="B10" t="inlineStr">
        <is>
          <t xml:space="preserve">Cedric Meissner</t>
        </is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f>SUM(C10:X10)</f>
      </c>
    </row>
    <row r="11">
      <c r="A11" t="inlineStr">
        <is>
          <t xml:space="preserve">p010</t>
        </is>
      </c>
      <c r="B11" t="inlineStr">
        <is>
          <t xml:space="preserve">Benedikt Duda</t>
        </is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f>SUM(C11:X11)</f>
      </c>
    </row>
    <row r="12">
      <c r="A12" t="inlineStr">
        <is>
          <t xml:space="preserve">p011</t>
        </is>
      </c>
      <c r="B12" t="inlineStr">
        <is>
          <t xml:space="preserve">Fan Bo Meng</t>
        </is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f>SUM(C12:X12)</f>
      </c>
    </row>
    <row r="13">
      <c r="A13" t="inlineStr">
        <is>
          <t xml:space="preserve">p012</t>
        </is>
      </c>
      <c r="B13" t="inlineStr">
        <is>
          <t xml:space="preserve">Kirill Gerassimenko</t>
        </is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f>SUM(C13:X13)</f>
      </c>
    </row>
    <row r="14">
      <c r="A14" t="inlineStr">
        <is>
          <t xml:space="preserve">p013</t>
        </is>
      </c>
      <c r="B14" t="inlineStr">
        <is>
          <t xml:space="preserve">Steffen Mengel</t>
        </is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f>SUM(C14:X14)</f>
      </c>
    </row>
    <row r="15">
      <c r="A15" t="inlineStr">
        <is>
          <t xml:space="preserve">p014</t>
        </is>
      </c>
      <c r="B15" t="inlineStr">
        <is>
          <t xml:space="preserve">Ruwen Filus</t>
        </is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f>SUM(C15:X15)</f>
      </c>
    </row>
    <row r="16">
      <c r="A16" t="inlineStr">
        <is>
          <t xml:space="preserve">p015</t>
        </is>
      </c>
      <c r="B16" t="inlineStr">
        <is>
          <t xml:space="preserve">Mattias Falck</t>
        </is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f>SUM(C16:X16)</f>
      </c>
    </row>
    <row r="17">
      <c r="A17" t="inlineStr">
        <is>
          <t xml:space="preserve">p016</t>
        </is>
      </c>
      <c r="B17" t="inlineStr">
        <is>
          <t xml:space="preserve">Lim Jonghoon</t>
        </is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f>SUM(C17:X17)</f>
      </c>
    </row>
    <row r="18">
      <c r="A18" t="inlineStr">
        <is>
          <t xml:space="preserve">p017</t>
        </is>
      </c>
      <c r="B18" t="inlineStr">
        <is>
          <t xml:space="preserve">Wang Yang</t>
        </is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f>SUM(C18:X18)</f>
      </c>
    </row>
    <row r="19">
      <c r="A19" t="inlineStr">
        <is>
          <t xml:space="preserve">p018</t>
        </is>
      </c>
      <c r="B19" t="inlineStr">
        <is>
          <t xml:space="preserve">Tom Closset</t>
        </is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f>SUM(C19:X19)</f>
      </c>
    </row>
    <row r="20">
      <c r="A20" t="inlineStr">
        <is>
          <t xml:space="preserve">p019</t>
        </is>
      </c>
      <c r="B20" t="inlineStr">
        <is>
          <t xml:space="preserve">Daniel Rinderer</t>
        </is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f>SUM(C20:X20)</f>
      </c>
    </row>
    <row r="21">
      <c r="A21" t="inlineStr">
        <is>
          <t xml:space="preserve">p020</t>
        </is>
      </c>
      <c r="B21" t="inlineStr">
        <is>
          <t xml:space="preserve">Gerald Pollak</t>
        </is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f>SUM(C21:X21)</f>
      </c>
    </row>
    <row r="22">
      <c r="A22" t="inlineStr">
        <is>
          <t xml:space="preserve">p021</t>
        </is>
      </c>
      <c r="B22" t="inlineStr">
        <is>
          <t xml:space="preserve">Andreas Levenko</t>
        </is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f>SUM(C22:X22)</f>
      </c>
    </row>
    <row r="23">
      <c r="A23" t="inlineStr">
        <is>
          <t xml:space="preserve">p022</t>
        </is>
      </c>
      <c r="B23" t="inlineStr">
        <is>
          <t xml:space="preserve">Filip Zeljko</t>
        </is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f>SUM(C23:X23)</f>
      </c>
    </row>
    <row r="24">
      <c r="A24" t="inlineStr">
        <is>
          <t xml:space="preserve">p023</t>
        </is>
      </c>
      <c r="B24" t="inlineStr">
        <is>
          <t xml:space="preserve">Hugo Calderano</t>
        </is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f>SUM(C24:X24)</f>
      </c>
    </row>
    <row r="25">
      <c r="A25" t="inlineStr">
        <is>
          <t xml:space="preserve">p024</t>
        </is>
      </c>
      <c r="B25" t="inlineStr">
        <is>
          <t xml:space="preserve">Vladimir Sidorenko</t>
        </is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f>SUM(C25:X25)</f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IFERROR(INDEX(SORT(FILTER({$H$2:$H,$F$2:$F,$G$2:$G},$E$2:$E=TRUE),2,FALSE,3,TRUE,1,TRUE),0,1),"")</f>
      </c>
      <c r="C2">
        <f>IFERROR(INDEX(SORT(FILTER({$H$2:$H,$F$2:$F,$G$2:$G},$E$2:$E=TRUE),2,FALSE,3,TRUE,1,TRUE),0,2),"")</f>
      </c>
      <c r="D2" t="inlineStr">
        <is>
          <t xml:space="preserve"/>
        </is>
      </c>
      <c r="E2">
        <f>MAP(Submissions!$C$2:$C,Submissions!$K$2:$K,Submissions!$M$2:$M,LAMBDA(tn,cf,ss,IF(tn="","",IF(AND(cf=TRUE,ss&lt;&gt;TRUE),TRUE,FALSE))))</f>
      </c>
      <c r="F2">
        <f>BYROW(Submissions!$D$2:$I,LAMBDA(row,IF(INDEX(row,1,1)="","",SUMPRODUCT(IFERROR(XLOOKUP(row,Scores!$A$2:$A$25,Scores!$Y$2:$Y$25),0)))))</f>
      </c>
      <c r="G2">
        <f>ARRAYFORMULA(IF(Submissions!$C$2:$C="","",Submissions!$A$2:$A))</f>
      </c>
      <c r="H2">
        <f>ARRAYFORMULA(IF(Submissions!$C$2:$C="","",Submissions!$C$2:$C))</f>
      </c>
    </row>
  </sheetData>
</worksheet>
</file>