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_Hin" sheetId="4" r:id="rId4"/>
    <sheet name="Scores_Rueck" sheetId="5" r:id="rId5"/>
    <sheet name="Ranking_Gesamt" sheetId="6" r:id="rId6"/>
    <sheet name="Ranking_Hin" sheetId="7" r:id="rId7"/>
    <sheet name="Ranking_Rueck" sheetId="8" r:id="rId8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</row>
    <row r="2">
      <c r="A2">
        <f>ARRAYFORMULA(IF($B$2:$B$1001="","",SCAN(0,$B$2:$B$1001,LAMBDA(acc,v,IF(v="",acc,acc+1)))))</f>
      </c>
      <c r="B2">
        <f>IFERROR(LET(n,ROWS(Submissions!$C$2:$C$1001),idx,SEQUENCE(n),eml,MAP(Submissions!$C$2:$C$1001,Submissions!$L$2:$L$1001,Submissions!$N$2:$N$1001,Submissions!$B$2:$B$1001,LAMBDA(tn,cf,ss,em,IF(AND(tn&lt;&gt;"",cf=TRUE,ss&lt;&gt;TRUE),em,""))),tot,MAP(Submissions!$C$2:$C$1001,Submissions!$L$2:$L$1001,Submissions!$N$2:$N$1001,Submissions!$D$2:$D$1001,idx,LAMBDA(tn,cf,ss,rd,i,IF(AND(tn&lt;&gt;"",cf=TRUE,ss&lt;&gt;TRUE),IF(rd="HIN",SUMPRODUCT(IFERROR(XLOOKUP(INDEX(Submissions!$E$2:$J$1001,i,0),Scores_Hin!$A$2:$A$25,Scores_Hin!$O$2:$O$25),0)),IF(rd="RUECK",SUMPRODUCT(IFERROR(XLOOKUP(INDEX(Submissions!$E$2:$J$1001,i,0),Scores_Rueck!$A$2:$A$25,Scores_Rueck!$O$2:$O$25),0)),0)),0))),nm,MAP(Submissions!$C$2:$C$1001,Submissions!$L$2:$L$1001,Submissions!$N$2:$N$1001,LAMBDA(tn,cf,ss,IF(AND(tn&lt;&gt;"",cf=TRUE,ss&lt;&gt;TRUE),tn,""))),sub,MAP(Submissions!$C$2:$C$1001,Submissions!$L$2:$L$1001,Submissions!$N$2:$N$1001,Submissions!$A$2:$A$1001,LAMBDA(tn,cf,ss,sb,IF(AND(tn&lt;&gt;"",cf=TRUE,ss&lt;&gt;TRUE),sb,""))),ue,UNIQUE(FILTER(eml,eml&lt;&gt;"")),uTot,MAP(ue,LAMBDA(e,SUMPRODUCT((eml=e)*IF(ISNUMBER(tot),tot,0)))),uName,MAP(ue,LAMBDA(e,INDEX(FILTER(nm,eml=e),1))),uEarl,MAP(ue,LAMBDA(e,MINIFS(sub,eml,e))),sorted,SORT(HSTACK(uName,uTot,uEarl),2,FALSE,3,TRUE,1,TRUE),INDEX(sorted,0,1)),"")</f>
      </c>
      <c r="C2">
        <f>IFERROR(LET(n,ROWS(Submissions!$C$2:$C$1001),idx,SEQUENCE(n),eml,MAP(Submissions!$C$2:$C$1001,Submissions!$L$2:$L$1001,Submissions!$N$2:$N$1001,Submissions!$B$2:$B$1001,LAMBDA(tn,cf,ss,em,IF(AND(tn&lt;&gt;"",cf=TRUE,ss&lt;&gt;TRUE),em,""))),tot,MAP(Submissions!$C$2:$C$1001,Submissions!$L$2:$L$1001,Submissions!$N$2:$N$1001,Submissions!$D$2:$D$1001,idx,LAMBDA(tn,cf,ss,rd,i,IF(AND(tn&lt;&gt;"",cf=TRUE,ss&lt;&gt;TRUE),IF(rd="HIN",SUMPRODUCT(IFERROR(XLOOKUP(INDEX(Submissions!$E$2:$J$1001,i,0),Scores_Hin!$A$2:$A$25,Scores_Hin!$O$2:$O$25),0)),IF(rd="RUECK",SUMPRODUCT(IFERROR(XLOOKUP(INDEX(Submissions!$E$2:$J$1001,i,0),Scores_Rueck!$A$2:$A$25,Scores_Rueck!$O$2:$O$25),0)),0)),0))),nm,MAP(Submissions!$C$2:$C$1001,Submissions!$L$2:$L$1001,Submissions!$N$2:$N$1001,LAMBDA(tn,cf,ss,IF(AND(tn&lt;&gt;"",cf=TRUE,ss&lt;&gt;TRUE),tn,""))),sub,MAP(Submissions!$C$2:$C$1001,Submissions!$L$2:$L$1001,Submissions!$N$2:$N$1001,Submissions!$A$2:$A$1001,LAMBDA(tn,cf,ss,sb,IF(AND(tn&lt;&gt;"",cf=TRUE,ss&lt;&gt;TRUE),sb,""))),ue,UNIQUE(FILTER(eml,eml&lt;&gt;"")),uTot,MAP(ue,LAMBDA(e,SUMPRODUCT((eml=e)*IF(ISNUMBER(tot),tot,0)))),uName,MAP(ue,LAMBDA(e,INDEX(FILTER(nm,eml=e),1))),uEarl,MAP(ue,LAMBDA(e,MINIFS(sub,eml,e))),sorted,SORT(HSTACK(uName,uTot,uEarl),2,FALSE,3,TRUE,1,TRUE),INDEX(sorted,0,2)),""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BYROW(Submissions!$E$2:$J$1001,LAMBDA(row,IF(INDEX(row,1,1)="",0,SUMPRODUCT(IFERROR(XLOOKUP(row,Scores_Hin!$A$2:$A$25,Scores_Hin!$O$2:$O$25),0)))))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BYROW(Submissions!$E$2:$J$1001,LAMBDA(row,IF(INDEX(row,1,1)="",0,SUMPRODUCT(IFERROR(XLOOKUP(row,Scores_Rueck!$A$2:$A$25,Scores_Rueck!$O$2:$O$25),0)))))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