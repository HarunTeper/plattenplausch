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bmissions" sheetId="1" r:id="rId1"/>
    <sheet name="Players_Hin" sheetId="2" r:id="rId2"/>
    <sheet name="Players_Rueck" sheetId="3" r:id="rId3"/>
    <sheet name="Scores" sheetId="4" r:id="rId4"/>
    <sheet name="Ranking_Gesamt" sheetId="5" r:id="rId5"/>
    <sheet name="Ranking_Hin" sheetId="6" r:id="rId6"/>
    <sheet name="Ranking_Rueck" sheetId="7" r:id="rId7"/>
  </sheets>
</workbook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submittedAt</t>
        </is>
      </c>
      <c r="B1" t="inlineStr">
        <is>
          <t xml:space="preserve">email</t>
        </is>
      </c>
      <c r="C1" t="inlineStr">
        <is>
          <t xml:space="preserve">teamName</t>
        </is>
      </c>
      <c r="D1" t="inlineStr">
        <is>
          <t xml:space="preserve">round</t>
        </is>
      </c>
      <c r="E1" t="inlineStr">
        <is>
          <t xml:space="preserve">p1</t>
        </is>
      </c>
      <c r="F1" t="inlineStr">
        <is>
          <t xml:space="preserve">p2</t>
        </is>
      </c>
      <c r="G1" t="inlineStr">
        <is>
          <t xml:space="preserve">p3</t>
        </is>
      </c>
      <c r="H1" t="inlineStr">
        <is>
          <t xml:space="preserve">p4</t>
        </is>
      </c>
      <c r="I1" t="inlineStr">
        <is>
          <t xml:space="preserve">p5</t>
        </is>
      </c>
      <c r="J1" t="inlineStr">
        <is>
          <t xml:space="preserve">p6</t>
        </is>
      </c>
      <c r="K1" t="inlineStr">
        <is>
          <t xml:space="preserve">token</t>
        </is>
      </c>
      <c r="L1" t="inlineStr">
        <is>
          <t xml:space="preserve">confirmed</t>
        </is>
      </c>
      <c r="M1" t="inlineStr">
        <is>
          <t xml:space="preserve">confirmedAt</t>
        </is>
      </c>
      <c r="N1" t="inlineStr">
        <is>
          <t xml:space="preserve">superseded</t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 t="inlineStr">
        <is>
          <t xml:space="preserve">Offensiv</t>
        </is>
      </c>
      <c r="E6">
        <v>14</v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 t="inlineStr">
        <is>
          <t xml:space="preserve">Abwehr</t>
        </is>
      </c>
      <c r="E7">
        <v>9</v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22</v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 t="inlineStr">
        <is>
          <t xml:space="preserve">Abwehr</t>
        </is>
      </c>
      <c r="E14">
        <v>11</v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 t="inlineStr">
        <is>
          <t xml:space="preserve">Allrounder</t>
        </is>
      </c>
      <c r="E15">
        <v>10</v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 t="inlineStr">
        <is>
          <t xml:space="preserve">Abwehr</t>
        </is>
      </c>
      <c r="E16">
        <v>12</v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 t="inlineStr">
        <is>
          <t xml:space="preserve">Allrounder</t>
        </is>
      </c>
      <c r="E17">
        <v>11</v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 t="inlineStr">
        <is>
          <t xml:space="preserve">Offensiv</t>
        </is>
      </c>
      <c r="E18">
        <v>27</v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 t="inlineStr">
        <is>
          <t xml:space="preserve">Allrounder</t>
        </is>
      </c>
      <c r="E19">
        <v>18</v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 t="inlineStr">
        <is>
          <t xml:space="preserve">Offensiv</t>
        </is>
      </c>
      <c r="E20">
        <v>20</v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 t="inlineStr">
        <is>
          <t xml:space="preserve">Allrounder</t>
        </is>
      </c>
      <c r="E21">
        <v>16</v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15</v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26</v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 t="inlineStr">
        <is>
          <t xml:space="preserve">Offensiv</t>
        </is>
      </c>
      <c r="E24">
        <v>15</v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r007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r004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r017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r010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r019</t>
        </is>
      </c>
      <c r="B6" t="inlineStr">
        <is>
          <t xml:space="preserve">Daniel Rinderer</t>
        </is>
      </c>
      <c r="C6" t="inlineStr">
        <is>
          <t xml:space="preserve">ASV Grünwettersbach</t>
        </is>
      </c>
      <c r="D6" t="inlineStr">
        <is>
          <t xml:space="preserve">Abwehr</t>
        </is>
      </c>
      <c r="E6">
        <v>9</v>
      </c>
    </row>
    <row r="7">
      <c r="A7" t="inlineStr">
        <is>
          <t xml:space="preserve">r006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 t="inlineStr">
        <is>
          <t xml:space="preserve">Offensiv</t>
        </is>
      </c>
      <c r="E7">
        <v>22</v>
      </c>
    </row>
    <row r="8">
      <c r="A8" t="inlineStr">
        <is>
          <t xml:space="preserve">r009</t>
        </is>
      </c>
      <c r="B8" t="inlineStr">
        <is>
          <t xml:space="preserve">Cedric Meissner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14</v>
      </c>
    </row>
    <row r="9">
      <c r="A9" t="inlineStr">
        <is>
          <t xml:space="preserve">r001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r016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r003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r022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r020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r021</t>
        </is>
      </c>
      <c r="B14" t="inlineStr">
        <is>
          <t xml:space="preserve">Andreas Levenko</t>
        </is>
      </c>
      <c r="C14" t="inlineStr">
        <is>
          <t xml:space="preserve">TTC Fulda-Maberzell</t>
        </is>
      </c>
      <c r="D14" t="inlineStr">
        <is>
          <t xml:space="preserve">Allrounder</t>
        </is>
      </c>
      <c r="E14">
        <v>10</v>
      </c>
    </row>
    <row r="15">
      <c r="A15" t="inlineStr">
        <is>
          <t xml:space="preserve">r014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 t="inlineStr">
        <is>
          <t xml:space="preserve">Abwehr</t>
        </is>
      </c>
      <c r="E15">
        <v>12</v>
      </c>
    </row>
    <row r="16">
      <c r="A16" t="inlineStr">
        <is>
          <t xml:space="preserve">r024</t>
        </is>
      </c>
      <c r="B16" t="inlineStr">
        <is>
          <t xml:space="preserve">Vladimir Sidorenko</t>
        </is>
      </c>
      <c r="C16" t="inlineStr">
        <is>
          <t xml:space="preserve">TTC Fulda-Maberzell</t>
        </is>
      </c>
      <c r="D16" t="inlineStr">
        <is>
          <t xml:space="preserve">Allrounder</t>
        </is>
      </c>
      <c r="E16">
        <v>11</v>
      </c>
    </row>
    <row r="17">
      <c r="A17" t="inlineStr">
        <is>
          <t xml:space="preserve">r002</t>
        </is>
      </c>
      <c r="B17" t="inlineStr">
        <is>
          <t xml:space="preserve">Dimitrij Ovtcharov</t>
        </is>
      </c>
      <c r="C17" t="inlineStr">
        <is>
          <t xml:space="preserve">TTC Neu-Ulm</t>
        </is>
      </c>
      <c r="D17" t="inlineStr">
        <is>
          <t xml:space="preserve">Offensiv</t>
        </is>
      </c>
      <c r="E17">
        <v>27</v>
      </c>
    </row>
    <row r="18">
      <c r="A18" t="inlineStr">
        <is>
          <t xml:space="preserve">r005</t>
        </is>
      </c>
      <c r="B18" t="inlineStr">
        <is>
          <t xml:space="preserve">Kay Stumper</t>
        </is>
      </c>
      <c r="C18" t="inlineStr">
        <is>
          <t xml:space="preserve">TTC Neu-Ulm</t>
        </is>
      </c>
      <c r="D18" t="inlineStr">
        <is>
          <t xml:space="preserve">Allrounder</t>
        </is>
      </c>
      <c r="E18">
        <v>18</v>
      </c>
    </row>
    <row r="19">
      <c r="A19" t="inlineStr">
        <is>
          <t xml:space="preserve">r015</t>
        </is>
      </c>
      <c r="B19" t="inlineStr">
        <is>
          <t xml:space="preserve">Mattias Falck</t>
        </is>
      </c>
      <c r="C19" t="inlineStr">
        <is>
          <t xml:space="preserve">TTC Neu-Ulm</t>
        </is>
      </c>
      <c r="D19" t="inlineStr">
        <is>
          <t xml:space="preserve">Offensiv</t>
        </is>
      </c>
      <c r="E19">
        <v>20</v>
      </c>
    </row>
    <row r="20">
      <c r="A20" t="inlineStr">
        <is>
          <t xml:space="preserve">r008</t>
        </is>
      </c>
      <c r="B20" t="inlineStr">
        <is>
          <t xml:space="preserve">Ricardo Walther</t>
        </is>
      </c>
      <c r="C20" t="inlineStr">
        <is>
          <t xml:space="preserve">TTC Neu-Ulm</t>
        </is>
      </c>
      <c r="D20" t="inlineStr">
        <is>
          <t xml:space="preserve">Allrounder</t>
        </is>
      </c>
      <c r="E20">
        <v>16</v>
      </c>
    </row>
    <row r="21">
      <c r="A21" t="inlineStr">
        <is>
          <t xml:space="preserve">r011</t>
        </is>
      </c>
      <c r="B21" t="inlineStr">
        <is>
          <t xml:space="preserve">Fan Bo Meng</t>
        </is>
      </c>
      <c r="C21" t="inlineStr">
        <is>
          <t xml:space="preserve">TTF Liebherr Ochsenhausen</t>
        </is>
      </c>
      <c r="D21" t="inlineStr">
        <is>
          <t xml:space="preserve">Offensiv</t>
        </is>
      </c>
      <c r="E21">
        <v>15</v>
      </c>
    </row>
    <row r="22">
      <c r="A22" t="inlineStr">
        <is>
          <t xml:space="preserve">r023</t>
        </is>
      </c>
      <c r="B22" t="inlineStr">
        <is>
          <t xml:space="preserve">Hugo Calderano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26</v>
      </c>
    </row>
    <row r="23">
      <c r="A23" t="inlineStr">
        <is>
          <t xml:space="preserve">r012</t>
        </is>
      </c>
      <c r="B23" t="inlineStr">
        <is>
          <t xml:space="preserve">Kirill Gerassimenko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15</v>
      </c>
    </row>
    <row r="24">
      <c r="A24" t="inlineStr">
        <is>
          <t xml:space="preserve">r013</t>
        </is>
      </c>
      <c r="B24" t="inlineStr">
        <is>
          <t xml:space="preserve">Steffen Mengel</t>
        </is>
      </c>
      <c r="C24" t="inlineStr">
        <is>
          <t xml:space="preserve">TTF Liebherr Ochsenhausen</t>
        </is>
      </c>
      <c r="D24" t="inlineStr">
        <is>
          <t xml:space="preserve">Abwehr</t>
        </is>
      </c>
      <c r="E24">
        <v>11</v>
      </c>
    </row>
    <row r="25">
      <c r="A25" t="inlineStr">
        <is>
          <t xml:space="preserve">r018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4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round</t>
        </is>
      </c>
      <c r="E1" t="inlineStr">
        <is>
          <t xml:space="preserve">MD1</t>
        </is>
      </c>
      <c r="F1" t="inlineStr">
        <is>
          <t xml:space="preserve">MD2</t>
        </is>
      </c>
      <c r="G1" t="inlineStr">
        <is>
          <t xml:space="preserve">MD3</t>
        </is>
      </c>
      <c r="H1" t="inlineStr">
        <is>
          <t xml:space="preserve">MD4</t>
        </is>
      </c>
      <c r="I1" t="inlineStr">
        <is>
          <t xml:space="preserve">MD5</t>
        </is>
      </c>
      <c r="J1" t="inlineStr">
        <is>
          <t xml:space="preserve">MD6</t>
        </is>
      </c>
      <c r="K1" t="inlineStr">
        <is>
          <t xml:space="preserve">MD7</t>
        </is>
      </c>
      <c r="L1" t="inlineStr">
        <is>
          <t xml:space="preserve">MD8</t>
        </is>
      </c>
      <c r="M1" t="inlineStr">
        <is>
          <t xml:space="preserve">MD9</t>
        </is>
      </c>
      <c r="N1" t="inlineStr">
        <is>
          <t xml:space="preserve">MD10</t>
        </is>
      </c>
      <c r="O1" t="inlineStr">
        <is>
          <t xml:space="preserve">MD11</t>
        </is>
      </c>
      <c r="P1" t="inlineStr">
        <is>
          <t xml:space="preserve">MD12</t>
        </is>
      </c>
      <c r="Q1" t="inlineStr">
        <is>
          <t xml:space="preserve">MD13</t>
        </is>
      </c>
      <c r="R1" t="inlineStr">
        <is>
          <t xml:space="preserve">MD14</t>
        </is>
      </c>
      <c r="S1" t="inlineStr">
        <is>
          <t xml:space="preserve">MD15</t>
        </is>
      </c>
      <c r="T1" t="inlineStr">
        <is>
          <t xml:space="preserve">MD16</t>
        </is>
      </c>
      <c r="U1" t="inlineStr">
        <is>
          <t xml:space="preserve">MD17</t>
        </is>
      </c>
      <c r="V1" t="inlineStr">
        <is>
          <t xml:space="preserve">MD18</t>
        </is>
      </c>
      <c r="W1" t="inlineStr">
        <is>
          <t xml:space="preserve">MD19</t>
        </is>
      </c>
      <c r="X1" t="inlineStr">
        <is>
          <t xml:space="preserve">MD20</t>
        </is>
      </c>
      <c r="Y1" t="inlineStr">
        <is>
          <t xml:space="preserve">MD21</t>
        </is>
      </c>
      <c r="Z1" t="inlineStr">
        <is>
          <t xml:space="preserve">MD22</t>
        </is>
      </c>
      <c r="AA1" t="inlineStr">
        <is>
          <t xml:space="preserve">hinTotal</t>
        </is>
      </c>
      <c r="AB1" t="inlineStr">
        <is>
          <t xml:space="preserve">rueckTotal</t>
        </is>
      </c>
      <c r="AC1" t="inlineStr">
        <is>
          <t xml:space="preserve">playerTotal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HIN</t>
        </is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f>SUM(E2:O2)</f>
      </c>
      <c r="AB2">
        <f>SUM(P2:Z2)</f>
      </c>
      <c r="AC2">
        <f>AA2+AB2</f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HIN</t>
        </is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f>SUM(E3:O3)</f>
      </c>
      <c r="AB3">
        <f>SUM(P3:Z3)</f>
      </c>
      <c r="AC3">
        <f>AA3+AB3</f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HIN</t>
        </is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f>SUM(E4:O4)</f>
      </c>
      <c r="AB4">
        <f>SUM(P4:Z4)</f>
      </c>
      <c r="AC4">
        <f>AA4+AB4</f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HIN</t>
        </is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f>SUM(E5:O5)</f>
      </c>
      <c r="AB5">
        <f>SUM(P5:Z5)</f>
      </c>
      <c r="AC5">
        <f>AA5+AB5</f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 t="inlineStr">
        <is>
          <t xml:space="preserve">HIN</t>
        </is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f>SUM(E6:O6)</f>
      </c>
      <c r="AB6">
        <f>SUM(P6:Z6)</f>
      </c>
      <c r="AC6">
        <f>AA6+AB6</f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 t="inlineStr">
        <is>
          <t xml:space="preserve">HIN</t>
        </is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f>SUM(E7:O7)</f>
      </c>
      <c r="AB7">
        <f>SUM(P7:Z7)</f>
      </c>
      <c r="AC7">
        <f>AA7+AB7</f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 t="inlineStr">
        <is>
          <t xml:space="preserve">HIN</t>
        </is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f>SUM(E8:O8)</f>
      </c>
      <c r="AB8">
        <f>SUM(P8:Z8)</f>
      </c>
      <c r="AC8">
        <f>AA8+AB8</f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HIN</t>
        </is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f>SUM(E9:O9)</f>
      </c>
      <c r="AB9">
        <f>SUM(P9:Z9)</f>
      </c>
      <c r="AC9">
        <f>AA9+AB9</f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HIN</t>
        </is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f>SUM(E10:O10)</f>
      </c>
      <c r="AB10">
        <f>SUM(P10:Z10)</f>
      </c>
      <c r="AC10">
        <f>AA10+AB10</f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HIN</t>
        </is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f>SUM(E11:O11)</f>
      </c>
      <c r="AB11">
        <f>SUM(P11:Z11)</f>
      </c>
      <c r="AC11">
        <f>AA11+AB11</f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HIN</t>
        </is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f>SUM(E12:O12)</f>
      </c>
      <c r="AB12">
        <f>SUM(P12:Z12)</f>
      </c>
      <c r="AC12">
        <f>AA12+AB12</f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HIN</t>
        </is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f>SUM(E13:O13)</f>
      </c>
      <c r="AB13">
        <f>SUM(P13:Z13)</f>
      </c>
      <c r="AC13">
        <f>AA13+AB13</f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 t="inlineStr">
        <is>
          <t xml:space="preserve">HIN</t>
        </is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f>SUM(E14:O14)</f>
      </c>
      <c r="AB14">
        <f>SUM(P14:Z14)</f>
      </c>
      <c r="AC14">
        <f>AA14+AB14</f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 t="inlineStr">
        <is>
          <t xml:space="preserve">HIN</t>
        </is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f>SUM(E15:O15)</f>
      </c>
      <c r="AB15">
        <f>SUM(P15:Z15)</f>
      </c>
      <c r="AC15">
        <f>AA15+AB15</f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 t="inlineStr">
        <is>
          <t xml:space="preserve">HIN</t>
        </is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f>SUM(E16:O16)</f>
      </c>
      <c r="AB16">
        <f>SUM(P16:Z16)</f>
      </c>
      <c r="AC16">
        <f>AA16+AB16</f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 t="inlineStr">
        <is>
          <t xml:space="preserve">HIN</t>
        </is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f>SUM(E17:O17)</f>
      </c>
      <c r="AB17">
        <f>SUM(P17:Z17)</f>
      </c>
      <c r="AC17">
        <f>AA17+AB17</f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 t="inlineStr">
        <is>
          <t xml:space="preserve">HIN</t>
        </is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f>SUM(E18:O18)</f>
      </c>
      <c r="AB18">
        <f>SUM(P18:Z18)</f>
      </c>
      <c r="AC18">
        <f>AA18+AB18</f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 t="inlineStr">
        <is>
          <t xml:space="preserve">HIN</t>
        </is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f>SUM(E19:O19)</f>
      </c>
      <c r="AB19">
        <f>SUM(P19:Z19)</f>
      </c>
      <c r="AC19">
        <f>AA19+AB19</f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 t="inlineStr">
        <is>
          <t xml:space="preserve">HIN</t>
        </is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f>SUM(E20:O20)</f>
      </c>
      <c r="AB20">
        <f>SUM(P20:Z20)</f>
      </c>
      <c r="AC20">
        <f>AA20+AB20</f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 t="inlineStr">
        <is>
          <t xml:space="preserve">HIN</t>
        </is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f>SUM(E21:O21)</f>
      </c>
      <c r="AB21">
        <f>SUM(P21:Z21)</f>
      </c>
      <c r="AC21">
        <f>AA21+AB21</f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 t="inlineStr">
        <is>
          <t xml:space="preserve">HIN</t>
        </is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f>SUM(E22:O22)</f>
      </c>
      <c r="AB22">
        <f>SUM(P22:Z22)</f>
      </c>
      <c r="AC22">
        <f>AA22+AB22</f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 t="inlineStr">
        <is>
          <t xml:space="preserve">HIN</t>
        </is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f>SUM(E23:O23)</f>
      </c>
      <c r="AB23">
        <f>SUM(P23:Z23)</f>
      </c>
      <c r="AC23">
        <f>AA23+AB23</f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 t="inlineStr">
        <is>
          <t xml:space="preserve">HIN</t>
        </is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f>SUM(E24:O24)</f>
      </c>
      <c r="AB24">
        <f>SUM(P24:Z24)</f>
      </c>
      <c r="AC24">
        <f>AA24+AB24</f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HIN</t>
        </is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f>SUM(E25:O25)</f>
      </c>
      <c r="AB25">
        <f>SUM(P25:Z25)</f>
      </c>
      <c r="AC25">
        <f>AA25+AB25</f>
      </c>
    </row>
    <row r="26">
      <c r="A26" t="inlineStr">
        <is>
          <t xml:space="preserve">r007</t>
        </is>
      </c>
      <c r="B26" t="inlineStr">
        <is>
          <t xml:space="preserve">Darko Jorgic</t>
        </is>
      </c>
      <c r="C26" t="inlineStr">
        <is>
          <t xml:space="preserve">1. FC Saarbrücken</t>
        </is>
      </c>
      <c r="D26" t="inlineStr">
        <is>
          <t xml:space="preserve">RUECK</t>
        </is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f>SUM(E26:O26)</f>
      </c>
      <c r="AB26">
        <f>SUM(P26:Z26)</f>
      </c>
      <c r="AC26">
        <f>AA26+AB26</f>
      </c>
    </row>
    <row r="27">
      <c r="A27" t="inlineStr">
        <is>
          <t xml:space="preserve">r004</t>
        </is>
      </c>
      <c r="B27" t="inlineStr">
        <is>
          <t xml:space="preserve">Patrick Franziska</t>
        </is>
      </c>
      <c r="C27" t="inlineStr">
        <is>
          <t xml:space="preserve">1. FC Saarbrücken</t>
        </is>
      </c>
      <c r="D27" t="inlineStr">
        <is>
          <t xml:space="preserve">RUECK</t>
        </is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f>SUM(E27:O27)</f>
      </c>
      <c r="AB27">
        <f>SUM(P27:Z27)</f>
      </c>
      <c r="AC27">
        <f>AA27+AB27</f>
      </c>
    </row>
    <row r="28">
      <c r="A28" t="inlineStr">
        <is>
          <t xml:space="preserve">r017</t>
        </is>
      </c>
      <c r="B28" t="inlineStr">
        <is>
          <t xml:space="preserve">Wang Yang</t>
        </is>
      </c>
      <c r="C28" t="inlineStr">
        <is>
          <t xml:space="preserve">1. FC Saarbrücken</t>
        </is>
      </c>
      <c r="D28" t="inlineStr">
        <is>
          <t xml:space="preserve">RUECK</t>
        </is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f>SUM(E28:O28)</f>
      </c>
      <c r="AB28">
        <f>SUM(P28:Z28)</f>
      </c>
      <c r="AC28">
        <f>AA28+AB28</f>
      </c>
    </row>
    <row r="29">
      <c r="A29" t="inlineStr">
        <is>
          <t xml:space="preserve">r010</t>
        </is>
      </c>
      <c r="B29" t="inlineStr">
        <is>
          <t xml:space="preserve">Benedikt Duda</t>
        </is>
      </c>
      <c r="C29" t="inlineStr">
        <is>
          <t xml:space="preserve">ASV Grünwettersbach</t>
        </is>
      </c>
      <c r="D29" t="inlineStr">
        <is>
          <t xml:space="preserve">RUECK</t>
        </is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f>SUM(E29:O29)</f>
      </c>
      <c r="AB29">
        <f>SUM(P29:Z29)</f>
      </c>
      <c r="AC29">
        <f>AA29+AB29</f>
      </c>
    </row>
    <row r="30">
      <c r="A30" t="inlineStr">
        <is>
          <t xml:space="preserve">r019</t>
        </is>
      </c>
      <c r="B30" t="inlineStr">
        <is>
          <t xml:space="preserve">Daniel Rinderer</t>
        </is>
      </c>
      <c r="C30" t="inlineStr">
        <is>
          <t xml:space="preserve">ASV Grünwettersbach</t>
        </is>
      </c>
      <c r="D30" t="inlineStr">
        <is>
          <t xml:space="preserve">RUECK</t>
        </is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f>SUM(E30:O30)</f>
      </c>
      <c r="AB30">
        <f>SUM(P30:Z30)</f>
      </c>
      <c r="AC30">
        <f>AA30+AB30</f>
      </c>
    </row>
    <row r="31">
      <c r="A31" t="inlineStr">
        <is>
          <t xml:space="preserve">r006</t>
        </is>
      </c>
      <c r="B31" t="inlineStr">
        <is>
          <t xml:space="preserve">Anton Källberg</t>
        </is>
      </c>
      <c r="C31" t="inlineStr">
        <is>
          <t xml:space="preserve">Borussia Düsseldorf</t>
        </is>
      </c>
      <c r="D31" t="inlineStr">
        <is>
          <t xml:space="preserve">RUECK</t>
        </is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f>SUM(E31:O31)</f>
      </c>
      <c r="AB31">
        <f>SUM(P31:Z31)</f>
      </c>
      <c r="AC31">
        <f>AA31+AB31</f>
      </c>
    </row>
    <row r="32">
      <c r="A32" t="inlineStr">
        <is>
          <t xml:space="preserve">r009</t>
        </is>
      </c>
      <c r="B32" t="inlineStr">
        <is>
          <t xml:space="preserve">Cedric Meissner</t>
        </is>
      </c>
      <c r="C32" t="inlineStr">
        <is>
          <t xml:space="preserve">Borussia Düsseldorf</t>
        </is>
      </c>
      <c r="D32" t="inlineStr">
        <is>
          <t xml:space="preserve">RUECK</t>
        </is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f>SUM(E32:O32)</f>
      </c>
      <c r="AB32">
        <f>SUM(P32:Z32)</f>
      </c>
      <c r="AC32">
        <f>AA32+AB32</f>
      </c>
    </row>
    <row r="33">
      <c r="A33" t="inlineStr">
        <is>
          <t xml:space="preserve">r001</t>
        </is>
      </c>
      <c r="B33" t="inlineStr">
        <is>
          <t xml:space="preserve">Dang Qiu</t>
        </is>
      </c>
      <c r="C33" t="inlineStr">
        <is>
          <t xml:space="preserve">Borussia Düsseldorf</t>
        </is>
      </c>
      <c r="D33" t="inlineStr">
        <is>
          <t xml:space="preserve">RUECK</t>
        </is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f>SUM(E33:O33)</f>
      </c>
      <c r="AB33">
        <f>SUM(P33:Z33)</f>
      </c>
      <c r="AC33">
        <f>AA33+AB33</f>
      </c>
    </row>
    <row r="34">
      <c r="A34" t="inlineStr">
        <is>
          <t xml:space="preserve">r016</t>
        </is>
      </c>
      <c r="B34" t="inlineStr">
        <is>
          <t xml:space="preserve">Lim Jonghoon</t>
        </is>
      </c>
      <c r="C34" t="inlineStr">
        <is>
          <t xml:space="preserve">Borussia Düsseldorf</t>
        </is>
      </c>
      <c r="D34" t="inlineStr">
        <is>
          <t xml:space="preserve">RUECK</t>
        </is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f>SUM(E34:O34)</f>
      </c>
      <c r="AB34">
        <f>SUM(P34:Z34)</f>
      </c>
      <c r="AC34">
        <f>AA34+AB34</f>
      </c>
    </row>
    <row r="35">
      <c r="A35" t="inlineStr">
        <is>
          <t xml:space="preserve">r003</t>
        </is>
      </c>
      <c r="B35" t="inlineStr">
        <is>
          <t xml:space="preserve">Timo Boll</t>
        </is>
      </c>
      <c r="C35" t="inlineStr">
        <is>
          <t xml:space="preserve">Borussia Düsseldorf</t>
        </is>
      </c>
      <c r="D35" t="inlineStr">
        <is>
          <t xml:space="preserve">RUECK</t>
        </is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f>SUM(E35:O35)</f>
      </c>
      <c r="AB35">
        <f>SUM(P35:Z35)</f>
      </c>
      <c r="AC35">
        <f>AA35+AB35</f>
      </c>
    </row>
    <row r="36">
      <c r="A36" t="inlineStr">
        <is>
          <t xml:space="preserve">r022</t>
        </is>
      </c>
      <c r="B36" t="inlineStr">
        <is>
          <t xml:space="preserve">Filip Zeljko</t>
        </is>
      </c>
      <c r="C36" t="inlineStr">
        <is>
          <t xml:space="preserve">Post SV Mühlhausen</t>
        </is>
      </c>
      <c r="D36" t="inlineStr">
        <is>
          <t xml:space="preserve">RUECK</t>
        </is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f>SUM(E36:O36)</f>
      </c>
      <c r="AB36">
        <f>SUM(P36:Z36)</f>
      </c>
      <c r="AC36">
        <f>AA36+AB36</f>
      </c>
    </row>
    <row r="37">
      <c r="A37" t="inlineStr">
        <is>
          <t xml:space="preserve">r020</t>
        </is>
      </c>
      <c r="B37" t="inlineStr">
        <is>
          <t xml:space="preserve">Gerald Pollak</t>
        </is>
      </c>
      <c r="C37" t="inlineStr">
        <is>
          <t xml:space="preserve">Post SV Mühlhausen</t>
        </is>
      </c>
      <c r="D37" t="inlineStr">
        <is>
          <t xml:space="preserve">RUECK</t>
        </is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f>SUM(E37:O37)</f>
      </c>
      <c r="AB37">
        <f>SUM(P37:Z37)</f>
      </c>
      <c r="AC37">
        <f>AA37+AB37</f>
      </c>
    </row>
    <row r="38">
      <c r="A38" t="inlineStr">
        <is>
          <t xml:space="preserve">r021</t>
        </is>
      </c>
      <c r="B38" t="inlineStr">
        <is>
          <t xml:space="preserve">Andreas Levenko</t>
        </is>
      </c>
      <c r="C38" t="inlineStr">
        <is>
          <t xml:space="preserve">TTC Fulda-Maberzell</t>
        </is>
      </c>
      <c r="D38" t="inlineStr">
        <is>
          <t xml:space="preserve">RUECK</t>
        </is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f>SUM(E38:O38)</f>
      </c>
      <c r="AB38">
        <f>SUM(P38:Z38)</f>
      </c>
      <c r="AC38">
        <f>AA38+AB38</f>
      </c>
    </row>
    <row r="39">
      <c r="A39" t="inlineStr">
        <is>
          <t xml:space="preserve">r014</t>
        </is>
      </c>
      <c r="B39" t="inlineStr">
        <is>
          <t xml:space="preserve">Ruwen Filus</t>
        </is>
      </c>
      <c r="C39" t="inlineStr">
        <is>
          <t xml:space="preserve">TTC Fulda-Maberzell</t>
        </is>
      </c>
      <c r="D39" t="inlineStr">
        <is>
          <t xml:space="preserve">RUECK</t>
        </is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f>SUM(E39:O39)</f>
      </c>
      <c r="AB39">
        <f>SUM(P39:Z39)</f>
      </c>
      <c r="AC39">
        <f>AA39+AB39</f>
      </c>
    </row>
    <row r="40">
      <c r="A40" t="inlineStr">
        <is>
          <t xml:space="preserve">r024</t>
        </is>
      </c>
      <c r="B40" t="inlineStr">
        <is>
          <t xml:space="preserve">Vladimir Sidorenko</t>
        </is>
      </c>
      <c r="C40" t="inlineStr">
        <is>
          <t xml:space="preserve">TTC Fulda-Maberzell</t>
        </is>
      </c>
      <c r="D40" t="inlineStr">
        <is>
          <t xml:space="preserve">RUECK</t>
        </is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f>SUM(E40:O40)</f>
      </c>
      <c r="AB40">
        <f>SUM(P40:Z40)</f>
      </c>
      <c r="AC40">
        <f>AA40+AB40</f>
      </c>
    </row>
    <row r="41">
      <c r="A41" t="inlineStr">
        <is>
          <t xml:space="preserve">r002</t>
        </is>
      </c>
      <c r="B41" t="inlineStr">
        <is>
          <t xml:space="preserve">Dimitrij Ovtcharov</t>
        </is>
      </c>
      <c r="C41" t="inlineStr">
        <is>
          <t xml:space="preserve">TTC Neu-Ulm</t>
        </is>
      </c>
      <c r="D41" t="inlineStr">
        <is>
          <t xml:space="preserve">RUECK</t>
        </is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f>SUM(E41:O41)</f>
      </c>
      <c r="AB41">
        <f>SUM(P41:Z41)</f>
      </c>
      <c r="AC41">
        <f>AA41+AB41</f>
      </c>
    </row>
    <row r="42">
      <c r="A42" t="inlineStr">
        <is>
          <t xml:space="preserve">r005</t>
        </is>
      </c>
      <c r="B42" t="inlineStr">
        <is>
          <t xml:space="preserve">Kay Stumper</t>
        </is>
      </c>
      <c r="C42" t="inlineStr">
        <is>
          <t xml:space="preserve">TTC Neu-Ulm</t>
        </is>
      </c>
      <c r="D42" t="inlineStr">
        <is>
          <t xml:space="preserve">RUECK</t>
        </is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f>SUM(E42:O42)</f>
      </c>
      <c r="AB42">
        <f>SUM(P42:Z42)</f>
      </c>
      <c r="AC42">
        <f>AA42+AB42</f>
      </c>
    </row>
    <row r="43">
      <c r="A43" t="inlineStr">
        <is>
          <t xml:space="preserve">r015</t>
        </is>
      </c>
      <c r="B43" t="inlineStr">
        <is>
          <t xml:space="preserve">Mattias Falck</t>
        </is>
      </c>
      <c r="C43" t="inlineStr">
        <is>
          <t xml:space="preserve">TTC Neu-Ulm</t>
        </is>
      </c>
      <c r="D43" t="inlineStr">
        <is>
          <t xml:space="preserve">RUECK</t>
        </is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f>SUM(E43:O43)</f>
      </c>
      <c r="AB43">
        <f>SUM(P43:Z43)</f>
      </c>
      <c r="AC43">
        <f>AA43+AB43</f>
      </c>
    </row>
    <row r="44">
      <c r="A44" t="inlineStr">
        <is>
          <t xml:space="preserve">r008</t>
        </is>
      </c>
      <c r="B44" t="inlineStr">
        <is>
          <t xml:space="preserve">Ricardo Walther</t>
        </is>
      </c>
      <c r="C44" t="inlineStr">
        <is>
          <t xml:space="preserve">TTC Neu-Ulm</t>
        </is>
      </c>
      <c r="D44" t="inlineStr">
        <is>
          <t xml:space="preserve">RUECK</t>
        </is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f>SUM(E44:O44)</f>
      </c>
      <c r="AB44">
        <f>SUM(P44:Z44)</f>
      </c>
      <c r="AC44">
        <f>AA44+AB44</f>
      </c>
    </row>
    <row r="45">
      <c r="A45" t="inlineStr">
        <is>
          <t xml:space="preserve">r011</t>
        </is>
      </c>
      <c r="B45" t="inlineStr">
        <is>
          <t xml:space="preserve">Fan Bo Meng</t>
        </is>
      </c>
      <c r="C45" t="inlineStr">
        <is>
          <t xml:space="preserve">TTF Liebherr Ochsenhausen</t>
        </is>
      </c>
      <c r="D45" t="inlineStr">
        <is>
          <t xml:space="preserve">RUECK</t>
        </is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f>SUM(E45:O45)</f>
      </c>
      <c r="AB45">
        <f>SUM(P45:Z45)</f>
      </c>
      <c r="AC45">
        <f>AA45+AB45</f>
      </c>
    </row>
    <row r="46">
      <c r="A46" t="inlineStr">
        <is>
          <t xml:space="preserve">r023</t>
        </is>
      </c>
      <c r="B46" t="inlineStr">
        <is>
          <t xml:space="preserve">Hugo Calderano</t>
        </is>
      </c>
      <c r="C46" t="inlineStr">
        <is>
          <t xml:space="preserve">TTF Liebherr Ochsenhausen</t>
        </is>
      </c>
      <c r="D46" t="inlineStr">
        <is>
          <t xml:space="preserve">RUECK</t>
        </is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f>SUM(E46:O46)</f>
      </c>
      <c r="AB46">
        <f>SUM(P46:Z46)</f>
      </c>
      <c r="AC46">
        <f>AA46+AB46</f>
      </c>
    </row>
    <row r="47">
      <c r="A47" t="inlineStr">
        <is>
          <t xml:space="preserve">r012</t>
        </is>
      </c>
      <c r="B47" t="inlineStr">
        <is>
          <t xml:space="preserve">Kirill Gerassimenko</t>
        </is>
      </c>
      <c r="C47" t="inlineStr">
        <is>
          <t xml:space="preserve">TTF Liebherr Ochsenhausen</t>
        </is>
      </c>
      <c r="D47" t="inlineStr">
        <is>
          <t xml:space="preserve">RUECK</t>
        </is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f>SUM(E47:O47)</f>
      </c>
      <c r="AB47">
        <f>SUM(P47:Z47)</f>
      </c>
      <c r="AC47">
        <f>AA47+AB47</f>
      </c>
    </row>
    <row r="48">
      <c r="A48" t="inlineStr">
        <is>
          <t xml:space="preserve">r013</t>
        </is>
      </c>
      <c r="B48" t="inlineStr">
        <is>
          <t xml:space="preserve">Steffen Mengel</t>
        </is>
      </c>
      <c r="C48" t="inlineStr">
        <is>
          <t xml:space="preserve">TTF Liebherr Ochsenhausen</t>
        </is>
      </c>
      <c r="D48" t="inlineStr">
        <is>
          <t xml:space="preserve">RUECK</t>
        </is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f>SUM(E48:O48)</f>
      </c>
      <c r="AB48">
        <f>SUM(P48:Z48)</f>
      </c>
      <c r="AC48">
        <f>AA48+AB48</f>
      </c>
    </row>
    <row r="49">
      <c r="A49" t="inlineStr">
        <is>
          <t xml:space="preserve">r018</t>
        </is>
      </c>
      <c r="B49" t="inlineStr">
        <is>
          <t xml:space="preserve">Tom Closset</t>
        </is>
      </c>
      <c r="C49" t="inlineStr">
        <is>
          <t xml:space="preserve">TTF Liebherr Ochsenhausen</t>
        </is>
      </c>
      <c r="D49" t="inlineStr">
        <is>
          <t xml:space="preserve">RUECK</t>
        </is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f>SUM(E49:O49)</f>
      </c>
      <c r="AB49">
        <f>SUM(P49:Z49)</f>
      </c>
      <c r="AC49">
        <f>AA49+AB49</f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email</t>
        </is>
      </c>
      <c r="G1" t="inlineStr">
        <is>
          <t xml:space="preserve">rowTotal</t>
        </is>
      </c>
      <c r="H1" t="inlineStr">
        <is>
          <t xml:space="preserve">teamNameSrc</t>
        </is>
      </c>
      <c r="I1" t="inlineStr">
        <is>
          <t xml:space="preserve">submittedAt</t>
        </is>
      </c>
      <c r="J1" t="inlineStr">
        <is>
          <t xml:space="preserve"/>
        </is>
      </c>
      <c r="K1" t="inlineStr">
        <is>
          <t xml:space="preserve">uEmail</t>
        </is>
      </c>
      <c r="L1" t="inlineStr">
        <is>
          <t xml:space="preserve">uTotal</t>
        </is>
      </c>
      <c r="M1" t="inlineStr">
        <is>
          <t xml:space="preserve">uName</t>
        </is>
      </c>
      <c r="N1" t="inlineStr">
        <is>
          <t xml:space="preserve">uEarliest</t>
        </is>
      </c>
    </row>
    <row r="2">
      <c r="A2">
        <f>IF(COUNTA(B2:B)=0,"",SEQUENCE(COUNTA(B2:B)))</f>
      </c>
      <c r="B2">
        <f>IFERROR(INDEX(SORT(FILTER({$M$2:$M,$L$2:$L,$N$2:$N},$K$2:$K&lt;&gt;""),2,FALSE,3,TRUE,1,TRUE),0,1),"")</f>
      </c>
      <c r="C2">
        <f>IFERROR(INDEX(SORT(FILTER({$M$2:$M,$L$2:$L,$N$2:$N},$K$2:$K&lt;&gt;""),2,FALSE,3,TRUE,1,TRUE),0,2),"")</f>
      </c>
      <c r="D2" t="inlineStr">
        <is>
          <t xml:space="preserve"/>
        </is>
      </c>
      <c r="E2">
        <f>MAP(Submissions!$C$2:$C,Submissions!$L$2:$L,Submissions!$N$2:$N,LAMBDA(tn,cf,ss,IF(tn="","",IF(AND(cf=TRUE,ss&lt;&gt;TRUE),TRUE,FALSE))))</f>
      </c>
      <c r="F2">
        <f>ARRAYFORMULA(IF($E$2:$E=TRUE,Submissions!$B$2:$B,""))</f>
      </c>
      <c r="G2">
        <f>MAP(Submissions!$D$2:$D,SEQUENCE(ROWS(Submissions!$D$2:$D)),LAMBDA(rd,i,IF(INDEX($E$2:$E,i)&lt;&gt;TRUE,"",LET(picks,INDEX(Submissions!$E$2:$J,i,0),IF(rd="HIN",SUMPRODUCT(IFERROR(XLOOKUP(picks,Scores!$A$2:$A$49,Scores!$AA$2:$AA$49),0)),IF(rd="RUECK",SUMPRODUCT(IFERROR(XLOOKUP(picks,Scores!$A$2:$A$49,Scores!$AB$2:$AB$49),0)),0))))))</f>
      </c>
      <c r="H2">
        <f>ARRAYFORMULA(IF($E$2:$E=TRUE,Submissions!$C$2:$C,""))</f>
      </c>
      <c r="I2">
        <f>ARRAYFORMULA(IF($E$2:$E=TRUE,Submissions!$A$2:$A,""))</f>
      </c>
      <c r="J2" t="inlineStr">
        <is>
          <t xml:space="preserve"/>
        </is>
      </c>
      <c r="K2">
        <f>IFERROR(UNIQUE(FILTER($F$2:$F,$F$2:$F&lt;&gt;"")),"")</f>
      </c>
      <c r="L2">
        <f>MAP($K$2:$K,LAMBDA(e,IF(e="","",SUMIF($F$2:$F,e,$G$2:$G))))</f>
      </c>
      <c r="M2">
        <f>MAP($K$2:$K,LAMBDA(e,IF(e="","",IFERROR(INDEX(FILTER($H$2:$H,$F$2:$F=e),1),""))))</f>
      </c>
      <c r="N2">
        <f>MAP($K$2:$K,LAMBDA(e,IF(e="","",MINIFS($I$2:$I,$F$2:$F,e))))</f>
      </c>
    </row>
  </sheetData>
</worksheet>
</file>

<file path=xl/worksheets/sheet6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IF(COUNTA(B2:B)=0,"",SEQUENCE(COUNTA(B2:B)))</f>
      </c>
      <c r="B2">
        <f>IFERROR(INDEX(SORT(FILTER({$H$2:$H,$F$2:$F,$G$2:$G},$E$2:$E=TRUE),2,FALSE,3,TRUE,1,TRUE),0,1),"")</f>
      </c>
      <c r="C2">
        <f>IFERROR(INDEX(SORT(FILTER({$H$2:$H,$F$2:$F,$G$2:$G},$E$2:$E=TRUE),2,FALSE,3,TRUE,1,TRUE),0,2),"")</f>
      </c>
      <c r="D2" t="inlineStr">
        <is>
          <t xml:space="preserve"/>
        </is>
      </c>
      <c r="E2">
        <f>MAP(Submissions!$C$2:$C,Submissions!$L$2:$L,Submissions!$N$2:$N,Submissions!$D$2:$D,LAMBDA(tn,cf,ss,rd,IF(tn="","",IF(AND(cf=TRUE,ss&lt;&gt;TRUE,rd="HIN"),TRUE,FALSE))))</f>
      </c>
      <c r="F2">
        <f>BYROW(Submissions!$E$2:$J,LAMBDA(row,IF(INDEX(row,1,1)="","",SUMPRODUCT(IFERROR(XLOOKUP(row,Scores!$A$2:$A$49,Scores!$AA$2:$AA$49),0)))))</f>
      </c>
      <c r="G2">
        <f>ARRAYFORMULA(IF(Submissions!$C$2:$C="","",Submissions!$A$2:$A))</f>
      </c>
      <c r="H2">
        <f>ARRAYFORMULA(IF(Submissions!$C$2:$C="","",Submissions!$C$2:$C))</f>
      </c>
    </row>
  </sheetData>
</worksheet>
</file>

<file path=xl/worksheets/sheet7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IF(COUNTA(B2:B)=0,"",SEQUENCE(COUNTA(B2:B)))</f>
      </c>
      <c r="B2">
        <f>IFERROR(INDEX(SORT(FILTER({$H$2:$H,$F$2:$F,$G$2:$G},$E$2:$E=TRUE),2,FALSE,3,TRUE,1,TRUE),0,1),"")</f>
      </c>
      <c r="C2">
        <f>IFERROR(INDEX(SORT(FILTER({$H$2:$H,$F$2:$F,$G$2:$G},$E$2:$E=TRUE),2,FALSE,3,TRUE,1,TRUE),0,2),"")</f>
      </c>
      <c r="D2" t="inlineStr">
        <is>
          <t xml:space="preserve"/>
        </is>
      </c>
      <c r="E2">
        <f>MAP(Submissions!$C$2:$C,Submissions!$L$2:$L,Submissions!$N$2:$N,Submissions!$D$2:$D,LAMBDA(tn,cf,ss,rd,IF(tn="","",IF(AND(cf=TRUE,ss&lt;&gt;TRUE,rd="RUECK"),TRUE,FALSE))))</f>
      </c>
      <c r="F2">
        <f>BYROW(Submissions!$E$2:$J,LAMBDA(row,IF(INDEX(row,1,1)="","",SUMPRODUCT(IFERROR(XLOOKUP(row,Scores!$A$2:$A$49,Scores!$AB$2:$AB$49),0)))))</f>
      </c>
      <c r="G2">
        <f>ARRAYFORMULA(IF(Submissions!$C$2:$C="","",Submissions!$A$2:$A))</f>
      </c>
      <c r="H2">
        <f>ARRAYFORMULA(IF(Submissions!$C$2:$C="","",Submissions!$C$2:$C))</f>
      </c>
    </row>
  </sheetData>
</worksheet>
</file>