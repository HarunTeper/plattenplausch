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ubmissions" sheetId="1" r:id="rId1"/>
    <sheet name="Players" sheetId="2" r:id="rId2"/>
    <sheet name="Scores" sheetId="3" r:id="rId3"/>
    <sheet name="Ranking_Gesamt" sheetId="4" r:id="rId4"/>
    <sheet name="Ranking_Hin" sheetId="5" r:id="rId5"/>
    <sheet name="Ranking_Rueck" sheetId="6" r:id="rId6"/>
  </sheets>
</workbook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/Relationships>
</file>

<file path=xl/worksheets/sheet1.xml><?xml version="1.0" encoding="utf-8"?>
<worksheet xmlns="http://schemas.openxmlformats.org/spreadsheetml/2006/main">
  <sheetData>
    <row r="1">
      <c r="A1" t="inlineStr">
        <is>
          <t xml:space="preserve">submittedAt</t>
        </is>
      </c>
      <c r="B1" t="inlineStr">
        <is>
          <t xml:space="preserve">email</t>
        </is>
      </c>
      <c r="C1" t="inlineStr">
        <is>
          <t xml:space="preserve">teamName</t>
        </is>
      </c>
      <c r="D1" t="inlineStr">
        <is>
          <t xml:space="preserve">p1</t>
        </is>
      </c>
      <c r="E1" t="inlineStr">
        <is>
          <t xml:space="preserve">p2</t>
        </is>
      </c>
      <c r="F1" t="inlineStr">
        <is>
          <t xml:space="preserve">p3</t>
        </is>
      </c>
      <c r="G1" t="inlineStr">
        <is>
          <t xml:space="preserve">p4</t>
        </is>
      </c>
      <c r="H1" t="inlineStr">
        <is>
          <t xml:space="preserve">p5</t>
        </is>
      </c>
      <c r="I1" t="inlineStr">
        <is>
          <t xml:space="preserve">p6</t>
        </is>
      </c>
      <c r="J1" t="inlineStr">
        <is>
          <t xml:space="preserve">token</t>
        </is>
      </c>
      <c r="K1" t="inlineStr">
        <is>
          <t xml:space="preserve">confirmed</t>
        </is>
      </c>
      <c r="L1" t="inlineStr">
        <is>
          <t xml:space="preserve">confirmedAt</t>
        </is>
      </c>
      <c r="M1" t="inlineStr">
        <is>
          <t xml:space="preserve">superseded</t>
        </is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p007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p004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p017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p010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p009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 t="inlineStr">
        <is>
          <t xml:space="preserve">Offensiv</t>
        </is>
      </c>
      <c r="E6">
        <v>14</v>
      </c>
    </row>
    <row r="7">
      <c r="A7" t="inlineStr">
        <is>
          <t xml:space="preserve">p019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 t="inlineStr">
        <is>
          <t xml:space="preserve">Abwehr</t>
        </is>
      </c>
      <c r="E7">
        <v>9</v>
      </c>
    </row>
    <row r="8">
      <c r="A8" t="inlineStr">
        <is>
          <t xml:space="preserve">p006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22</v>
      </c>
    </row>
    <row r="9">
      <c r="A9" t="inlineStr">
        <is>
          <t xml:space="preserve">p001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p016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p003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p022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p020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p013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 t="inlineStr">
        <is>
          <t xml:space="preserve">Abwehr</t>
        </is>
      </c>
      <c r="E14">
        <v>11</v>
      </c>
    </row>
    <row r="15">
      <c r="A15" t="inlineStr">
        <is>
          <t xml:space="preserve">p021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 t="inlineStr">
        <is>
          <t xml:space="preserve">Allrounder</t>
        </is>
      </c>
      <c r="E15">
        <v>10</v>
      </c>
    </row>
    <row r="16">
      <c r="A16" t="inlineStr">
        <is>
          <t xml:space="preserve">p014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 t="inlineStr">
        <is>
          <t xml:space="preserve">Abwehr</t>
        </is>
      </c>
      <c r="E16">
        <v>12</v>
      </c>
    </row>
    <row r="17">
      <c r="A17" t="inlineStr">
        <is>
          <t xml:space="preserve">p024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 t="inlineStr">
        <is>
          <t xml:space="preserve">Allrounder</t>
        </is>
      </c>
      <c r="E17">
        <v>11</v>
      </c>
    </row>
    <row r="18">
      <c r="A18" t="inlineStr">
        <is>
          <t xml:space="preserve">p002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 t="inlineStr">
        <is>
          <t xml:space="preserve">Offensiv</t>
        </is>
      </c>
      <c r="E18">
        <v>27</v>
      </c>
    </row>
    <row r="19">
      <c r="A19" t="inlineStr">
        <is>
          <t xml:space="preserve">p005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 t="inlineStr">
        <is>
          <t xml:space="preserve">Allrounder</t>
        </is>
      </c>
      <c r="E19">
        <v>18</v>
      </c>
    </row>
    <row r="20">
      <c r="A20" t="inlineStr">
        <is>
          <t xml:space="preserve">p015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 t="inlineStr">
        <is>
          <t xml:space="preserve">Offensiv</t>
        </is>
      </c>
      <c r="E20">
        <v>20</v>
      </c>
    </row>
    <row r="21">
      <c r="A21" t="inlineStr">
        <is>
          <t xml:space="preserve">p008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 t="inlineStr">
        <is>
          <t xml:space="preserve">Allrounder</t>
        </is>
      </c>
      <c r="E21">
        <v>16</v>
      </c>
    </row>
    <row r="22">
      <c r="A22" t="inlineStr">
        <is>
          <t xml:space="preserve">p011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15</v>
      </c>
    </row>
    <row r="23">
      <c r="A23" t="inlineStr">
        <is>
          <t xml:space="preserve">p023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26</v>
      </c>
    </row>
    <row r="24">
      <c r="A24" t="inlineStr">
        <is>
          <t xml:space="preserve">p012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 t="inlineStr">
        <is>
          <t xml:space="preserve">Offensiv</t>
        </is>
      </c>
      <c r="E24">
        <v>15</v>
      </c>
    </row>
    <row r="25">
      <c r="A25" t="inlineStr">
        <is>
          <t xml:space="preserve">p018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MD1</t>
        </is>
      </c>
      <c r="E1" t="inlineStr">
        <is>
          <t xml:space="preserve">MD2</t>
        </is>
      </c>
      <c r="F1" t="inlineStr">
        <is>
          <t xml:space="preserve">MD3</t>
        </is>
      </c>
      <c r="G1" t="inlineStr">
        <is>
          <t xml:space="preserve">MD4</t>
        </is>
      </c>
      <c r="H1" t="inlineStr">
        <is>
          <t xml:space="preserve">MD5</t>
        </is>
      </c>
      <c r="I1" t="inlineStr">
        <is>
          <t xml:space="preserve">MD6</t>
        </is>
      </c>
      <c r="J1" t="inlineStr">
        <is>
          <t xml:space="preserve">MD7</t>
        </is>
      </c>
      <c r="K1" t="inlineStr">
        <is>
          <t xml:space="preserve">MD8</t>
        </is>
      </c>
      <c r="L1" t="inlineStr">
        <is>
          <t xml:space="preserve">MD9</t>
        </is>
      </c>
      <c r="M1" t="inlineStr">
        <is>
          <t xml:space="preserve">MD10</t>
        </is>
      </c>
      <c r="N1" t="inlineStr">
        <is>
          <t xml:space="preserve">MD11</t>
        </is>
      </c>
      <c r="O1" t="inlineStr">
        <is>
          <t xml:space="preserve">MD12</t>
        </is>
      </c>
      <c r="P1" t="inlineStr">
        <is>
          <t xml:space="preserve">MD13</t>
        </is>
      </c>
      <c r="Q1" t="inlineStr">
        <is>
          <t xml:space="preserve">MD14</t>
        </is>
      </c>
      <c r="R1" t="inlineStr">
        <is>
          <t xml:space="preserve">MD15</t>
        </is>
      </c>
      <c r="S1" t="inlineStr">
        <is>
          <t xml:space="preserve">MD16</t>
        </is>
      </c>
      <c r="T1" t="inlineStr">
        <is>
          <t xml:space="preserve">MD17</t>
        </is>
      </c>
      <c r="U1" t="inlineStr">
        <is>
          <t xml:space="preserve">MD18</t>
        </is>
      </c>
      <c r="V1" t="inlineStr">
        <is>
          <t xml:space="preserve">MD19</t>
        </is>
      </c>
      <c r="W1" t="inlineStr">
        <is>
          <t xml:space="preserve">MD20</t>
        </is>
      </c>
      <c r="X1" t="inlineStr">
        <is>
          <t xml:space="preserve">MD21</t>
        </is>
      </c>
      <c r="Y1" t="inlineStr">
        <is>
          <t xml:space="preserve">MD22</t>
        </is>
      </c>
      <c r="Z1" t="inlineStr">
        <is>
          <t xml:space="preserve">hinTotal</t>
        </is>
      </c>
      <c r="AA1" t="inlineStr">
        <is>
          <t xml:space="preserve">rueckTotal</t>
        </is>
      </c>
      <c r="AB1" t="inlineStr">
        <is>
          <t xml:space="preserve">playerTotal</t>
        </is>
      </c>
    </row>
    <row r="2">
      <c r="A2" t="inlineStr">
        <is>
          <t xml:space="preserve">p007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f>SUM(D2:N2)</f>
      </c>
      <c r="AA2">
        <f>SUM(O2:Y2)</f>
      </c>
      <c r="AB2">
        <f>Z2+AA2</f>
      </c>
    </row>
    <row r="3">
      <c r="A3" t="inlineStr">
        <is>
          <t xml:space="preserve">p004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f>SUM(D3:N3)</f>
      </c>
      <c r="AA3">
        <f>SUM(O3:Y3)</f>
      </c>
      <c r="AB3">
        <f>Z3+AA3</f>
      </c>
    </row>
    <row r="4">
      <c r="A4" t="inlineStr">
        <is>
          <t xml:space="preserve">p017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f>SUM(D4:N4)</f>
      </c>
      <c r="AA4">
        <f>SUM(O4:Y4)</f>
      </c>
      <c r="AB4">
        <f>Z4+AA4</f>
      </c>
    </row>
    <row r="5">
      <c r="A5" t="inlineStr">
        <is>
          <t xml:space="preserve">p010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f>SUM(D5:N5)</f>
      </c>
      <c r="AA5">
        <f>SUM(O5:Y5)</f>
      </c>
      <c r="AB5">
        <f>Z5+AA5</f>
      </c>
    </row>
    <row r="6">
      <c r="A6" t="inlineStr">
        <is>
          <t xml:space="preserve">p009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f>SUM(D6:N6)</f>
      </c>
      <c r="AA6">
        <f>SUM(O6:Y6)</f>
      </c>
      <c r="AB6">
        <f>Z6+AA6</f>
      </c>
    </row>
    <row r="7">
      <c r="A7" t="inlineStr">
        <is>
          <t xml:space="preserve">p019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f>SUM(D7:N7)</f>
      </c>
      <c r="AA7">
        <f>SUM(O7:Y7)</f>
      </c>
      <c r="AB7">
        <f>Z7+AA7</f>
      </c>
    </row>
    <row r="8">
      <c r="A8" t="inlineStr">
        <is>
          <t xml:space="preserve">p006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f>SUM(D8:N8)</f>
      </c>
      <c r="AA8">
        <f>SUM(O8:Y8)</f>
      </c>
      <c r="AB8">
        <f>Z8+AA8</f>
      </c>
    </row>
    <row r="9">
      <c r="A9" t="inlineStr">
        <is>
          <t xml:space="preserve">p001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f>SUM(D9:N9)</f>
      </c>
      <c r="AA9">
        <f>SUM(O9:Y9)</f>
      </c>
      <c r="AB9">
        <f>Z9+AA9</f>
      </c>
    </row>
    <row r="10">
      <c r="A10" t="inlineStr">
        <is>
          <t xml:space="preserve">p016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f>SUM(D10:N10)</f>
      </c>
      <c r="AA10">
        <f>SUM(O10:Y10)</f>
      </c>
      <c r="AB10">
        <f>Z10+AA10</f>
      </c>
    </row>
    <row r="11">
      <c r="A11" t="inlineStr">
        <is>
          <t xml:space="preserve">p003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f>SUM(D11:N11)</f>
      </c>
      <c r="AA11">
        <f>SUM(O11:Y11)</f>
      </c>
      <c r="AB11">
        <f>Z11+AA11</f>
      </c>
    </row>
    <row r="12">
      <c r="A12" t="inlineStr">
        <is>
          <t xml:space="preserve">p022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f>SUM(D12:N12)</f>
      </c>
      <c r="AA12">
        <f>SUM(O12:Y12)</f>
      </c>
      <c r="AB12">
        <f>Z12+AA12</f>
      </c>
    </row>
    <row r="13">
      <c r="A13" t="inlineStr">
        <is>
          <t xml:space="preserve">p020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f>SUM(D13:N13)</f>
      </c>
      <c r="AA13">
        <f>SUM(O13:Y13)</f>
      </c>
      <c r="AB13">
        <f>Z13+AA13</f>
      </c>
    </row>
    <row r="14">
      <c r="A14" t="inlineStr">
        <is>
          <t xml:space="preserve">p013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f>SUM(D14:N14)</f>
      </c>
      <c r="AA14">
        <f>SUM(O14:Y14)</f>
      </c>
      <c r="AB14">
        <f>Z14+AA14</f>
      </c>
    </row>
    <row r="15">
      <c r="A15" t="inlineStr">
        <is>
          <t xml:space="preserve">p021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f>SUM(D15:N15)</f>
      </c>
      <c r="AA15">
        <f>SUM(O15:Y15)</f>
      </c>
      <c r="AB15">
        <f>Z15+AA15</f>
      </c>
    </row>
    <row r="16">
      <c r="A16" t="inlineStr">
        <is>
          <t xml:space="preserve">p014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f>SUM(D16:N16)</f>
      </c>
      <c r="AA16">
        <f>SUM(O16:Y16)</f>
      </c>
      <c r="AB16">
        <f>Z16+AA16</f>
      </c>
    </row>
    <row r="17">
      <c r="A17" t="inlineStr">
        <is>
          <t xml:space="preserve">p024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f>SUM(D17:N17)</f>
      </c>
      <c r="AA17">
        <f>SUM(O17:Y17)</f>
      </c>
      <c r="AB17">
        <f>Z17+AA17</f>
      </c>
    </row>
    <row r="18">
      <c r="A18" t="inlineStr">
        <is>
          <t xml:space="preserve">p002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f>SUM(D18:N18)</f>
      </c>
      <c r="AA18">
        <f>SUM(O18:Y18)</f>
      </c>
      <c r="AB18">
        <f>Z18+AA18</f>
      </c>
    </row>
    <row r="19">
      <c r="A19" t="inlineStr">
        <is>
          <t xml:space="preserve">p005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f>SUM(D19:N19)</f>
      </c>
      <c r="AA19">
        <f>SUM(O19:Y19)</f>
      </c>
      <c r="AB19">
        <f>Z19+AA19</f>
      </c>
    </row>
    <row r="20">
      <c r="A20" t="inlineStr">
        <is>
          <t xml:space="preserve">p015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f>SUM(D20:N20)</f>
      </c>
      <c r="AA20">
        <f>SUM(O20:Y20)</f>
      </c>
      <c r="AB20">
        <f>Z20+AA20</f>
      </c>
    </row>
    <row r="21">
      <c r="A21" t="inlineStr">
        <is>
          <t xml:space="preserve">p008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f>SUM(D21:N21)</f>
      </c>
      <c r="AA21">
        <f>SUM(O21:Y21)</f>
      </c>
      <c r="AB21">
        <f>Z21+AA21</f>
      </c>
    </row>
    <row r="22">
      <c r="A22" t="inlineStr">
        <is>
          <t xml:space="preserve">p011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f>SUM(D22:N22)</f>
      </c>
      <c r="AA22">
        <f>SUM(O22:Y22)</f>
      </c>
      <c r="AB22">
        <f>Z22+AA22</f>
      </c>
    </row>
    <row r="23">
      <c r="A23" t="inlineStr">
        <is>
          <t xml:space="preserve">p023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f>SUM(D23:N23)</f>
      </c>
      <c r="AA23">
        <f>SUM(O23:Y23)</f>
      </c>
      <c r="AB23">
        <f>Z23+AA23</f>
      </c>
    </row>
    <row r="24">
      <c r="A24" t="inlineStr">
        <is>
          <t xml:space="preserve">p012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f>SUM(D24:N24)</f>
      </c>
      <c r="AA24">
        <f>SUM(O24:Y24)</f>
      </c>
      <c r="AB24">
        <f>Z24+AA24</f>
      </c>
    </row>
    <row r="25">
      <c r="A25" t="inlineStr">
        <is>
          <t xml:space="preserve">p018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f>SUM(D25:N25)</f>
      </c>
      <c r="AA25">
        <f>SUM(O25:Y25)</f>
      </c>
      <c r="AB25">
        <f>Z25+AA25</f>
      </c>
    </row>
  </sheetData>
</worksheet>
</file>

<file path=xl/worksheets/sheet4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IF(COUNTA(B2:B)=0,"",SEQUENCE(COUNTA(B2:B)))</f>
      </c>
      <c r="B2">
        <f>IFERROR(INDEX(SORT(FILTER({$H$2:$H,$F$2:$F,$G$2:$G},$E$2:$E=TRUE),2,FALSE,3,TRUE,1,TRUE),0,1),"")</f>
      </c>
      <c r="C2">
        <f>IFERROR(INDEX(SORT(FILTER({$H$2:$H,$F$2:$F,$G$2:$G},$E$2:$E=TRUE),2,FALSE,3,TRUE,1,TRUE),0,2),"")</f>
      </c>
      <c r="D2" t="inlineStr">
        <is>
          <t xml:space="preserve"/>
        </is>
      </c>
      <c r="E2">
        <f>MAP(Submissions!$C$2:$C,Submissions!$K$2:$K,Submissions!$M$2:$M,LAMBDA(tn,cf,ss,IF(tn="","",IF(AND(cf=TRUE,ss&lt;&gt;TRUE),TRUE,FALSE))))</f>
      </c>
      <c r="F2">
        <f>BYROW(Submissions!$D$2:$I,LAMBDA(row,IF(INDEX(row,1,1)="","",SUMPRODUCT(IFERROR(XLOOKUP(row,Scores!$A$2:$A$25,Scores!$AB$2:$AB$25),0)))))</f>
      </c>
      <c r="G2">
        <f>ARRAYFORMULA(IF(Submissions!$C$2:$C="","",Submissions!$A$2:$A))</f>
      </c>
      <c r="H2">
        <f>ARRAYFORMULA(IF(Submissions!$C$2:$C="","",Submissions!$C$2:$C))</f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IF(COUNTA(B2:B)=0,"",SEQUENCE(COUNTA(B2:B)))</f>
      </c>
      <c r="B2">
        <f>IFERROR(INDEX(SORT(FILTER({$H$2:$H,$F$2:$F,$G$2:$G},$E$2:$E=TRUE),2,FALSE,3,TRUE,1,TRUE),0,1),"")</f>
      </c>
      <c r="C2">
        <f>IFERROR(INDEX(SORT(FILTER({$H$2:$H,$F$2:$F,$G$2:$G},$E$2:$E=TRUE),2,FALSE,3,TRUE,1,TRUE),0,2),"")</f>
      </c>
      <c r="D2" t="inlineStr">
        <is>
          <t xml:space="preserve"/>
        </is>
      </c>
      <c r="E2">
        <f>MAP(Submissions!$C$2:$C,Submissions!$K$2:$K,Submissions!$M$2:$M,LAMBDA(tn,cf,ss,IF(tn="","",IF(AND(cf=TRUE,ss&lt;&gt;TRUE),TRUE,FALSE))))</f>
      </c>
      <c r="F2">
        <f>BYROW(Submissions!$D$2:$I,LAMBDA(row,IF(INDEX(row,1,1)="","",SUMPRODUCT(IFERROR(XLOOKUP(row,Scores!$A$2:$A$25,Scores!$Z$2:$Z$25),0)))))</f>
      </c>
      <c r="G2">
        <f>ARRAYFORMULA(IF(Submissions!$C$2:$C="","",Submissions!$A$2:$A))</f>
      </c>
      <c r="H2">
        <f>ARRAYFORMULA(IF(Submissions!$C$2:$C="","",Submissions!$C$2:$C))</f>
      </c>
    </row>
  </sheetData>
</worksheet>
</file>

<file path=xl/worksheets/sheet6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IF(COUNTA(B2:B)=0,"",SEQUENCE(COUNTA(B2:B)))</f>
      </c>
      <c r="B2">
        <f>IFERROR(INDEX(SORT(FILTER({$H$2:$H,$F$2:$F,$G$2:$G},$E$2:$E=TRUE),2,FALSE,3,TRUE,1,TRUE),0,1),"")</f>
      </c>
      <c r="C2">
        <f>IFERROR(INDEX(SORT(FILTER({$H$2:$H,$F$2:$F,$G$2:$G},$E$2:$E=TRUE),2,FALSE,3,TRUE,1,TRUE),0,2),"")</f>
      </c>
      <c r="D2" t="inlineStr">
        <is>
          <t xml:space="preserve"/>
        </is>
      </c>
      <c r="E2">
        <f>MAP(Submissions!$C$2:$C,Submissions!$K$2:$K,Submissions!$M$2:$M,LAMBDA(tn,cf,ss,IF(tn="","",IF(AND(cf=TRUE,ss&lt;&gt;TRUE),TRUE,FALSE))))</f>
      </c>
      <c r="F2">
        <f>BYROW(Submissions!$D$2:$I,LAMBDA(row,IF(INDEX(row,1,1)="","",SUMPRODUCT(IFERROR(XLOOKUP(row,Scores!$A$2:$A$25,Scores!$AA$2:$AA$25),0)))))</f>
      </c>
      <c r="G2">
        <f>ARRAYFORMULA(IF(Submissions!$C$2:$C="","",Submissions!$A$2:$A))</f>
      </c>
      <c r="H2">
        <f>ARRAYFORMULA(IF(Submissions!$C$2:$C="","",Submissions!$C$2:$C))</f>
      </c>
    </row>
  </sheetData>
</worksheet>
</file>