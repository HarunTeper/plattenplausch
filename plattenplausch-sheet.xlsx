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_Hin" sheetId="4" r:id="rId4"/>
    <sheet name="Scores_Rueck" sheetId="5" r:id="rId5"/>
    <sheet name="Ranking_Gesamt" sheetId="6" r:id="rId6"/>
    <sheet name="Ranking_Hin" sheetId="7" r:id="rId7"/>
    <sheet name="Ranking_Rueck" sheetId="8" r:id="rId8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email</t>
        </is>
      </c>
      <c r="G1" t="inlineStr">
        <is>
          <t xml:space="preserve">rowTotal</t>
        </is>
      </c>
      <c r="H1" t="inlineStr">
        <is>
          <t xml:space="preserve">teamNameSrc</t>
        </is>
      </c>
      <c r="I1" t="inlineStr">
        <is>
          <t xml:space="preserve">submittedAt</t>
        </is>
      </c>
      <c r="J1" t="inlineStr">
        <is>
          <t xml:space="preserve"/>
        </is>
      </c>
      <c r="K1" t="inlineStr">
        <is>
          <t xml:space="preserve">uEmail</t>
        </is>
      </c>
      <c r="L1" t="inlineStr">
        <is>
          <t xml:space="preserve">uTotal</t>
        </is>
      </c>
      <c r="M1" t="inlineStr">
        <is>
          <t xml:space="preserve">uName</t>
        </is>
      </c>
      <c r="N1" t="inlineStr">
        <is>
          <t xml:space="preserve">uEarliest</t>
        </is>
      </c>
    </row>
    <row r="2">
      <c r="A2">
        <f>ARRAYFORMULA(IF($B$2:$B$1001="","",SCAN(0,$B$2:$B$1001,LAMBDA(acc,v,IF(v="",acc,acc+1)))))</f>
      </c>
      <c r="B2">
        <f>IFERROR(INDEX(SORT(FILTER({$M$2:$M$1001,$L$2:$L$1001,$N$2:$N$1001},$K$2:$K$1001&lt;&gt;""),2,FALSE,3,TRUE,1,TRUE),0,1),"")</f>
      </c>
      <c r="C2">
        <f>IFERROR(INDEX(SORT(FILTER({$M$2:$M$1001,$L$2:$L$1001,$N$2:$N$1001},$K$2:$K$1001&lt;&gt;""),2,FALSE,3,TRUE,1,TRUE),0,2),"")</f>
      </c>
      <c r="D2" t="inlineStr">
        <is>
          <t xml:space="preserve"/>
        </is>
      </c>
      <c r="E2">
        <f>MAP(Submissions!$C$2:$C$1001,Submissions!$L$2:$L$1001,Submissions!$N$2:$N$1001,LAMBDA(tn,cf,ss,IF(tn="",FALSE,IF(AND(cf=TRUE,ss&lt;&gt;TRUE),TRUE,FALSE))))</f>
      </c>
      <c r="F2">
        <f>ARRAYFORMULA(IF($E$2:$E$1001=TRUE,Submissions!$B$2:$B$1001,""))</f>
      </c>
      <c r="G2">
        <f>ARRAYFORMULA(IF($E$2:$E$1001&lt;&gt;TRUE,""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))</f>
      </c>
      <c r="H2">
        <f>ARRAYFORMULA(IF($E$2:$E$1001=TRUE,Submissions!$C$2:$C$1001,""))</f>
      </c>
      <c r="I2">
        <f>ARRAYFORMULA(IF($E$2:$E$1001=TRUE,Submissions!$A$2:$A$1001,""))</f>
      </c>
      <c r="J2" t="inlineStr">
        <is>
          <t xml:space="preserve"/>
        </is>
      </c>
      <c r="K2">
        <f>IFERROR(UNIQUE(FILTER($F$2:$F$1001,$F$2:$F$1001&lt;&gt;"")),"")</f>
      </c>
      <c r="L2">
        <f>MAP($K$2:$K$1001,LAMBDA(e,IF(e="","",SUMIF($F$2:$F$1001,e,$G$2:$G$1001))))</f>
      </c>
      <c r="M2">
        <f>MAP($K$2:$K$1001,LAMBDA(e,IF(e="","",IFERROR(INDEX(FILTER($H$2:$H$1001,$F$2:$F$1001=e),1),""))))</f>
      </c>
      <c r="N2">
        <f>MAP($K$2:$K$1001,LAMBDA(e,IF(e="","",MINIFS($I$2:$I$1001,$F$2:$F$1001,e))))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BYROW(Submissions!$E$2:$J$1001,LAMBDA(row,IF(INDEX(row,1,1)="",0,SUMPRODUCT(IFERROR(XLOOKUP(row,Scores_Hin!$A$2:$A$25,Scores_Hin!$O$2:$O$25),0)))))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BYROW(Submissions!$E$2:$J$1001,LAMBDA(row,IF(INDEX(row,1,1)="",0,SUMPRODUCT(IFERROR(XLOOKUP(row,Scores_Rueck!$A$2:$A$25,Scores_Rueck!$O$2:$O$25),0)))))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