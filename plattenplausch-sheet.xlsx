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bmissions" sheetId="1" r:id="rId1"/>
    <sheet name="Players_Hin" sheetId="2" r:id="rId2"/>
    <sheet name="Players_Rueck" sheetId="3" r:id="rId3"/>
    <sheet name="Scores_Hin" sheetId="4" r:id="rId4"/>
    <sheet name="Scores_Rueck" sheetId="5" r:id="rId5"/>
    <sheet name="Ranking_Gesamt" sheetId="6" r:id="rId6"/>
    <sheet name="Ranking_Hin" sheetId="7" r:id="rId7"/>
    <sheet name="Ranking_Rueck" sheetId="8" r:id="rId8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submittedAt</t>
        </is>
      </c>
      <c r="B1" t="inlineStr">
        <is>
          <t xml:space="preserve">email</t>
        </is>
      </c>
      <c r="C1" t="inlineStr">
        <is>
          <t xml:space="preserve">teamName</t>
        </is>
      </c>
      <c r="D1" t="inlineStr">
        <is>
          <t xml:space="preserve">round</t>
        </is>
      </c>
      <c r="E1" t="inlineStr">
        <is>
          <t xml:space="preserve">p1</t>
        </is>
      </c>
      <c r="F1" t="inlineStr">
        <is>
          <t xml:space="preserve">p2</t>
        </is>
      </c>
      <c r="G1" t="inlineStr">
        <is>
          <t xml:space="preserve">p3</t>
        </is>
      </c>
      <c r="H1" t="inlineStr">
        <is>
          <t xml:space="preserve">p4</t>
        </is>
      </c>
      <c r="I1" t="inlineStr">
        <is>
          <t xml:space="preserve">p5</t>
        </is>
      </c>
      <c r="J1" t="inlineStr">
        <is>
          <t xml:space="preserve">p6</t>
        </is>
      </c>
      <c r="K1" t="inlineStr">
        <is>
          <t xml:space="preserve">token</t>
        </is>
      </c>
      <c r="L1" t="inlineStr">
        <is>
          <t xml:space="preserve">confirmed</t>
        </is>
      </c>
      <c r="M1" t="inlineStr">
        <is>
          <t xml:space="preserve">confirmedAt</t>
        </is>
      </c>
      <c r="N1" t="inlineStr">
        <is>
          <t xml:space="preserve">superseded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club</t>
        </is>
      </c>
      <c r="D1" t="inlineStr">
        <is>
          <t xml:space="preserve">position</t>
        </is>
      </c>
      <c r="E1" t="inlineStr">
        <is>
          <t xml:space="preserve">price</t>
        </is>
      </c>
    </row>
    <row r="2">
      <c r="A2" t="inlineStr">
        <is>
          <t xml:space="preserve">h007</t>
        </is>
      </c>
      <c r="B2" t="inlineStr">
        <is>
          <t xml:space="preserve">Darko Jorgic</t>
        </is>
      </c>
      <c r="C2" t="inlineStr">
        <is>
          <t xml:space="preserve">1. FC Saarbrücken</t>
        </is>
      </c>
      <c r="D2" t="inlineStr">
        <is>
          <t xml:space="preserve">Offensiv</t>
        </is>
      </c>
      <c r="E2">
        <v>21</v>
      </c>
    </row>
    <row r="3">
      <c r="A3" t="inlineStr">
        <is>
          <t xml:space="preserve">h004</t>
        </is>
      </c>
      <c r="B3" t="inlineStr">
        <is>
          <t xml:space="preserve">Patrick Franziska</t>
        </is>
      </c>
      <c r="C3" t="inlineStr">
        <is>
          <t xml:space="preserve">1. FC Saarbrücken</t>
        </is>
      </c>
      <c r="D3" t="inlineStr">
        <is>
          <t xml:space="preserve">Offensiv</t>
        </is>
      </c>
      <c r="E3">
        <v>23</v>
      </c>
    </row>
    <row r="4">
      <c r="A4" t="inlineStr">
        <is>
          <t xml:space="preserve">h017</t>
        </is>
      </c>
      <c r="B4" t="inlineStr">
        <is>
          <t xml:space="preserve">Wang Yang</t>
        </is>
      </c>
      <c r="C4" t="inlineStr">
        <is>
          <t xml:space="preserve">1. FC Saarbrücken</t>
        </is>
      </c>
      <c r="D4" t="inlineStr">
        <is>
          <t xml:space="preserve">Allrounder</t>
        </is>
      </c>
      <c r="E4">
        <v>18</v>
      </c>
    </row>
    <row r="5">
      <c r="A5" t="inlineStr">
        <is>
          <t xml:space="preserve">h010</t>
        </is>
      </c>
      <c r="B5" t="inlineStr">
        <is>
          <t xml:space="preserve">Benedikt Duda</t>
        </is>
      </c>
      <c r="C5" t="inlineStr">
        <is>
          <t xml:space="preserve">ASV Grünwettersbach</t>
        </is>
      </c>
      <c r="D5" t="inlineStr">
        <is>
          <t xml:space="preserve">Allrounder</t>
        </is>
      </c>
      <c r="E5">
        <v>17</v>
      </c>
    </row>
    <row r="6">
      <c r="A6" t="inlineStr">
        <is>
          <t xml:space="preserve">h009</t>
        </is>
      </c>
      <c r="B6" t="inlineStr">
        <is>
          <t xml:space="preserve">Cedric Meissner</t>
        </is>
      </c>
      <c r="C6" t="inlineStr">
        <is>
          <t xml:space="preserve">ASV Grünwettersbach</t>
        </is>
      </c>
      <c r="D6" t="inlineStr">
        <is>
          <t xml:space="preserve">Offensiv</t>
        </is>
      </c>
      <c r="E6">
        <v>14</v>
      </c>
    </row>
    <row r="7">
      <c r="A7" t="inlineStr">
        <is>
          <t xml:space="preserve">h019</t>
        </is>
      </c>
      <c r="B7" t="inlineStr">
        <is>
          <t xml:space="preserve">Daniel Rinderer</t>
        </is>
      </c>
      <c r="C7" t="inlineStr">
        <is>
          <t xml:space="preserve">ASV Grünwettersbach</t>
        </is>
      </c>
      <c r="D7" t="inlineStr">
        <is>
          <t xml:space="preserve">Abwehr</t>
        </is>
      </c>
      <c r="E7">
        <v>9</v>
      </c>
    </row>
    <row r="8">
      <c r="A8" t="inlineStr">
        <is>
          <t xml:space="preserve">h006</t>
        </is>
      </c>
      <c r="B8" t="inlineStr">
        <is>
          <t xml:space="preserve">Anton Källberg</t>
        </is>
      </c>
      <c r="C8" t="inlineStr">
        <is>
          <t xml:space="preserve">Borussia Düsseldorf</t>
        </is>
      </c>
      <c r="D8" t="inlineStr">
        <is>
          <t xml:space="preserve">Offensiv</t>
        </is>
      </c>
      <c r="E8">
        <v>22</v>
      </c>
    </row>
    <row r="9">
      <c r="A9" t="inlineStr">
        <is>
          <t xml:space="preserve">h001</t>
        </is>
      </c>
      <c r="B9" t="inlineStr">
        <is>
          <t xml:space="preserve">Dang Qiu</t>
        </is>
      </c>
      <c r="C9" t="inlineStr">
        <is>
          <t xml:space="preserve">Borussia Düsseldorf</t>
        </is>
      </c>
      <c r="D9" t="inlineStr">
        <is>
          <t xml:space="preserve">Offensiv</t>
        </is>
      </c>
      <c r="E9">
        <v>28</v>
      </c>
    </row>
    <row r="10">
      <c r="A10" t="inlineStr">
        <is>
          <t xml:space="preserve">h016</t>
        </is>
      </c>
      <c r="B10" t="inlineStr">
        <is>
          <t xml:space="preserve">Lim Jonghoon</t>
        </is>
      </c>
      <c r="C10" t="inlineStr">
        <is>
          <t xml:space="preserve">Borussia Düsseldorf</t>
        </is>
      </c>
      <c r="D10" t="inlineStr">
        <is>
          <t xml:space="preserve">Offensiv</t>
        </is>
      </c>
      <c r="E10">
        <v>19</v>
      </c>
    </row>
    <row r="11">
      <c r="A11" t="inlineStr">
        <is>
          <t xml:space="preserve">h003</t>
        </is>
      </c>
      <c r="B11" t="inlineStr">
        <is>
          <t xml:space="preserve">Timo Boll</t>
        </is>
      </c>
      <c r="C11" t="inlineStr">
        <is>
          <t xml:space="preserve">Borussia Düsseldorf</t>
        </is>
      </c>
      <c r="D11" t="inlineStr">
        <is>
          <t xml:space="preserve">Allrounder</t>
        </is>
      </c>
      <c r="E11">
        <v>24</v>
      </c>
    </row>
    <row r="12">
      <c r="A12" t="inlineStr">
        <is>
          <t xml:space="preserve">h022</t>
        </is>
      </c>
      <c r="B12" t="inlineStr">
        <is>
          <t xml:space="preserve">Filip Zeljko</t>
        </is>
      </c>
      <c r="C12" t="inlineStr">
        <is>
          <t xml:space="preserve">Post SV Mühlhausen</t>
        </is>
      </c>
      <c r="D12" t="inlineStr">
        <is>
          <t xml:space="preserve">Offensiv</t>
        </is>
      </c>
      <c r="E12">
        <v>9</v>
      </c>
    </row>
    <row r="13">
      <c r="A13" t="inlineStr">
        <is>
          <t xml:space="preserve">h020</t>
        </is>
      </c>
      <c r="B13" t="inlineStr">
        <is>
          <t xml:space="preserve">Gerald Pollak</t>
        </is>
      </c>
      <c r="C13" t="inlineStr">
        <is>
          <t xml:space="preserve">Post SV Mühlhausen</t>
        </is>
      </c>
      <c r="D13" t="inlineStr">
        <is>
          <t xml:space="preserve">Allrounder</t>
        </is>
      </c>
      <c r="E13">
        <v>8</v>
      </c>
    </row>
    <row r="14">
      <c r="A14" t="inlineStr">
        <is>
          <t xml:space="preserve">h013</t>
        </is>
      </c>
      <c r="B14" t="inlineStr">
        <is>
          <t xml:space="preserve">Steffen Mengel</t>
        </is>
      </c>
      <c r="C14" t="inlineStr">
        <is>
          <t xml:space="preserve">Post SV Mühlhausen</t>
        </is>
      </c>
      <c r="D14" t="inlineStr">
        <is>
          <t xml:space="preserve">Abwehr</t>
        </is>
      </c>
      <c r="E14">
        <v>11</v>
      </c>
    </row>
    <row r="15">
      <c r="A15" t="inlineStr">
        <is>
          <t xml:space="preserve">h021</t>
        </is>
      </c>
      <c r="B15" t="inlineStr">
        <is>
          <t xml:space="preserve">Andreas Levenko</t>
        </is>
      </c>
      <c r="C15" t="inlineStr">
        <is>
          <t xml:space="preserve">TTC Fulda-Maberzell</t>
        </is>
      </c>
      <c r="D15" t="inlineStr">
        <is>
          <t xml:space="preserve">Allrounder</t>
        </is>
      </c>
      <c r="E15">
        <v>10</v>
      </c>
    </row>
    <row r="16">
      <c r="A16" t="inlineStr">
        <is>
          <t xml:space="preserve">h014</t>
        </is>
      </c>
      <c r="B16" t="inlineStr">
        <is>
          <t xml:space="preserve">Ruwen Filus</t>
        </is>
      </c>
      <c r="C16" t="inlineStr">
        <is>
          <t xml:space="preserve">TTC Fulda-Maberzell</t>
        </is>
      </c>
      <c r="D16" t="inlineStr">
        <is>
          <t xml:space="preserve">Abwehr</t>
        </is>
      </c>
      <c r="E16">
        <v>12</v>
      </c>
    </row>
    <row r="17">
      <c r="A17" t="inlineStr">
        <is>
          <t xml:space="preserve">h024</t>
        </is>
      </c>
      <c r="B17" t="inlineStr">
        <is>
          <t xml:space="preserve">Vladimir Sidorenko</t>
        </is>
      </c>
      <c r="C17" t="inlineStr">
        <is>
          <t xml:space="preserve">TTC Fulda-Maberzell</t>
        </is>
      </c>
      <c r="D17" t="inlineStr">
        <is>
          <t xml:space="preserve">Allrounder</t>
        </is>
      </c>
      <c r="E17">
        <v>11</v>
      </c>
    </row>
    <row r="18">
      <c r="A18" t="inlineStr">
        <is>
          <t xml:space="preserve">h002</t>
        </is>
      </c>
      <c r="B18" t="inlineStr">
        <is>
          <t xml:space="preserve">Dimitrij Ovtcharov</t>
        </is>
      </c>
      <c r="C18" t="inlineStr">
        <is>
          <t xml:space="preserve">TTC Neu-Ulm</t>
        </is>
      </c>
      <c r="D18" t="inlineStr">
        <is>
          <t xml:space="preserve">Offensiv</t>
        </is>
      </c>
      <c r="E18">
        <v>27</v>
      </c>
    </row>
    <row r="19">
      <c r="A19" t="inlineStr">
        <is>
          <t xml:space="preserve">h005</t>
        </is>
      </c>
      <c r="B19" t="inlineStr">
        <is>
          <t xml:space="preserve">Kay Stumper</t>
        </is>
      </c>
      <c r="C19" t="inlineStr">
        <is>
          <t xml:space="preserve">TTC Neu-Ulm</t>
        </is>
      </c>
      <c r="D19" t="inlineStr">
        <is>
          <t xml:space="preserve">Allrounder</t>
        </is>
      </c>
      <c r="E19">
        <v>18</v>
      </c>
    </row>
    <row r="20">
      <c r="A20" t="inlineStr">
        <is>
          <t xml:space="preserve">h015</t>
        </is>
      </c>
      <c r="B20" t="inlineStr">
        <is>
          <t xml:space="preserve">Mattias Falck</t>
        </is>
      </c>
      <c r="C20" t="inlineStr">
        <is>
          <t xml:space="preserve">TTC Neu-Ulm</t>
        </is>
      </c>
      <c r="D20" t="inlineStr">
        <is>
          <t xml:space="preserve">Offensiv</t>
        </is>
      </c>
      <c r="E20">
        <v>20</v>
      </c>
    </row>
    <row r="21">
      <c r="A21" t="inlineStr">
        <is>
          <t xml:space="preserve">h008</t>
        </is>
      </c>
      <c r="B21" t="inlineStr">
        <is>
          <t xml:space="preserve">Ricardo Walther</t>
        </is>
      </c>
      <c r="C21" t="inlineStr">
        <is>
          <t xml:space="preserve">TTC Neu-Ulm</t>
        </is>
      </c>
      <c r="D21" t="inlineStr">
        <is>
          <t xml:space="preserve">Allrounder</t>
        </is>
      </c>
      <c r="E21">
        <v>16</v>
      </c>
    </row>
    <row r="22">
      <c r="A22" t="inlineStr">
        <is>
          <t xml:space="preserve">h011</t>
        </is>
      </c>
      <c r="B22" t="inlineStr">
        <is>
          <t xml:space="preserve">Fan Bo Meng</t>
        </is>
      </c>
      <c r="C22" t="inlineStr">
        <is>
          <t xml:space="preserve">TTF Liebherr Ochsenhausen</t>
        </is>
      </c>
      <c r="D22" t="inlineStr">
        <is>
          <t xml:space="preserve">Offensiv</t>
        </is>
      </c>
      <c r="E22">
        <v>15</v>
      </c>
    </row>
    <row r="23">
      <c r="A23" t="inlineStr">
        <is>
          <t xml:space="preserve">h023</t>
        </is>
      </c>
      <c r="B23" t="inlineStr">
        <is>
          <t xml:space="preserve">Hugo Calderano</t>
        </is>
      </c>
      <c r="C23" t="inlineStr">
        <is>
          <t xml:space="preserve">TTF Liebherr Ochsenhausen</t>
        </is>
      </c>
      <c r="D23" t="inlineStr">
        <is>
          <t xml:space="preserve">Offensiv</t>
        </is>
      </c>
      <c r="E23">
        <v>26</v>
      </c>
    </row>
    <row r="24">
      <c r="A24" t="inlineStr">
        <is>
          <t xml:space="preserve">h012</t>
        </is>
      </c>
      <c r="B24" t="inlineStr">
        <is>
          <t xml:space="preserve">Kirill Gerassimenko</t>
        </is>
      </c>
      <c r="C24" t="inlineStr">
        <is>
          <t xml:space="preserve">TTF Liebherr Ochsenhausen</t>
        </is>
      </c>
      <c r="D24" t="inlineStr">
        <is>
          <t xml:space="preserve">Offensiv</t>
        </is>
      </c>
      <c r="E24">
        <v>15</v>
      </c>
    </row>
    <row r="25">
      <c r="A25" t="inlineStr">
        <is>
          <t xml:space="preserve">h018</t>
        </is>
      </c>
      <c r="B25" t="inlineStr">
        <is>
          <t xml:space="preserve">Tom Closset</t>
        </is>
      </c>
      <c r="C25" t="inlineStr">
        <is>
          <t xml:space="preserve">TTF Liebherr Ochsenhausen</t>
        </is>
      </c>
      <c r="D25" t="inlineStr">
        <is>
          <t xml:space="preserve">Offensiv</t>
        </is>
      </c>
      <c r="E25">
        <v>13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club</t>
        </is>
      </c>
      <c r="D1" t="inlineStr">
        <is>
          <t xml:space="preserve">position</t>
        </is>
      </c>
      <c r="E1" t="inlineStr">
        <is>
          <t xml:space="preserve">price</t>
        </is>
      </c>
    </row>
    <row r="2">
      <c r="A2" t="inlineStr">
        <is>
          <t xml:space="preserve">r007</t>
        </is>
      </c>
      <c r="B2" t="inlineStr">
        <is>
          <t xml:space="preserve">Darko Jorgic</t>
        </is>
      </c>
      <c r="C2" t="inlineStr">
        <is>
          <t xml:space="preserve">1. FC Saarbrücken</t>
        </is>
      </c>
      <c r="D2" t="inlineStr">
        <is>
          <t xml:space="preserve">Offensiv</t>
        </is>
      </c>
      <c r="E2">
        <v>21</v>
      </c>
    </row>
    <row r="3">
      <c r="A3" t="inlineStr">
        <is>
          <t xml:space="preserve">r004</t>
        </is>
      </c>
      <c r="B3" t="inlineStr">
        <is>
          <t xml:space="preserve">Patrick Franziska</t>
        </is>
      </c>
      <c r="C3" t="inlineStr">
        <is>
          <t xml:space="preserve">1. FC Saarbrücken</t>
        </is>
      </c>
      <c r="D3" t="inlineStr">
        <is>
          <t xml:space="preserve">Offensiv</t>
        </is>
      </c>
      <c r="E3">
        <v>23</v>
      </c>
    </row>
    <row r="4">
      <c r="A4" t="inlineStr">
        <is>
          <t xml:space="preserve">r017</t>
        </is>
      </c>
      <c r="B4" t="inlineStr">
        <is>
          <t xml:space="preserve">Wang Yang</t>
        </is>
      </c>
      <c r="C4" t="inlineStr">
        <is>
          <t xml:space="preserve">1. FC Saarbrücken</t>
        </is>
      </c>
      <c r="D4" t="inlineStr">
        <is>
          <t xml:space="preserve">Allrounder</t>
        </is>
      </c>
      <c r="E4">
        <v>18</v>
      </c>
    </row>
    <row r="5">
      <c r="A5" t="inlineStr">
        <is>
          <t xml:space="preserve">r010</t>
        </is>
      </c>
      <c r="B5" t="inlineStr">
        <is>
          <t xml:space="preserve">Benedikt Duda</t>
        </is>
      </c>
      <c r="C5" t="inlineStr">
        <is>
          <t xml:space="preserve">ASV Grünwettersbach</t>
        </is>
      </c>
      <c r="D5" t="inlineStr">
        <is>
          <t xml:space="preserve">Allrounder</t>
        </is>
      </c>
      <c r="E5">
        <v>17</v>
      </c>
    </row>
    <row r="6">
      <c r="A6" t="inlineStr">
        <is>
          <t xml:space="preserve">r019</t>
        </is>
      </c>
      <c r="B6" t="inlineStr">
        <is>
          <t xml:space="preserve">Daniel Rinderer</t>
        </is>
      </c>
      <c r="C6" t="inlineStr">
        <is>
          <t xml:space="preserve">ASV Grünwettersbach</t>
        </is>
      </c>
      <c r="D6" t="inlineStr">
        <is>
          <t xml:space="preserve">Abwehr</t>
        </is>
      </c>
      <c r="E6">
        <v>9</v>
      </c>
    </row>
    <row r="7">
      <c r="A7" t="inlineStr">
        <is>
          <t xml:space="preserve">r006</t>
        </is>
      </c>
      <c r="B7" t="inlineStr">
        <is>
          <t xml:space="preserve">Anton Källberg</t>
        </is>
      </c>
      <c r="C7" t="inlineStr">
        <is>
          <t xml:space="preserve">Borussia Düsseldorf</t>
        </is>
      </c>
      <c r="D7" t="inlineStr">
        <is>
          <t xml:space="preserve">Offensiv</t>
        </is>
      </c>
      <c r="E7">
        <v>22</v>
      </c>
    </row>
    <row r="8">
      <c r="A8" t="inlineStr">
        <is>
          <t xml:space="preserve">r009</t>
        </is>
      </c>
      <c r="B8" t="inlineStr">
        <is>
          <t xml:space="preserve">Cedric Meissner</t>
        </is>
      </c>
      <c r="C8" t="inlineStr">
        <is>
          <t xml:space="preserve">Borussia Düsseldorf</t>
        </is>
      </c>
      <c r="D8" t="inlineStr">
        <is>
          <t xml:space="preserve">Offensiv</t>
        </is>
      </c>
      <c r="E8">
        <v>14</v>
      </c>
    </row>
    <row r="9">
      <c r="A9" t="inlineStr">
        <is>
          <t xml:space="preserve">r001</t>
        </is>
      </c>
      <c r="B9" t="inlineStr">
        <is>
          <t xml:space="preserve">Dang Qiu</t>
        </is>
      </c>
      <c r="C9" t="inlineStr">
        <is>
          <t xml:space="preserve">Borussia Düsseldorf</t>
        </is>
      </c>
      <c r="D9" t="inlineStr">
        <is>
          <t xml:space="preserve">Offensiv</t>
        </is>
      </c>
      <c r="E9">
        <v>28</v>
      </c>
    </row>
    <row r="10">
      <c r="A10" t="inlineStr">
        <is>
          <t xml:space="preserve">r016</t>
        </is>
      </c>
      <c r="B10" t="inlineStr">
        <is>
          <t xml:space="preserve">Lim Jonghoon</t>
        </is>
      </c>
      <c r="C10" t="inlineStr">
        <is>
          <t xml:space="preserve">Borussia Düsseldorf</t>
        </is>
      </c>
      <c r="D10" t="inlineStr">
        <is>
          <t xml:space="preserve">Offensiv</t>
        </is>
      </c>
      <c r="E10">
        <v>19</v>
      </c>
    </row>
    <row r="11">
      <c r="A11" t="inlineStr">
        <is>
          <t xml:space="preserve">r003</t>
        </is>
      </c>
      <c r="B11" t="inlineStr">
        <is>
          <t xml:space="preserve">Timo Boll</t>
        </is>
      </c>
      <c r="C11" t="inlineStr">
        <is>
          <t xml:space="preserve">Borussia Düsseldorf</t>
        </is>
      </c>
      <c r="D11" t="inlineStr">
        <is>
          <t xml:space="preserve">Allrounder</t>
        </is>
      </c>
      <c r="E11">
        <v>24</v>
      </c>
    </row>
    <row r="12">
      <c r="A12" t="inlineStr">
        <is>
          <t xml:space="preserve">r022</t>
        </is>
      </c>
      <c r="B12" t="inlineStr">
        <is>
          <t xml:space="preserve">Filip Zeljko</t>
        </is>
      </c>
      <c r="C12" t="inlineStr">
        <is>
          <t xml:space="preserve">Post SV Mühlhausen</t>
        </is>
      </c>
      <c r="D12" t="inlineStr">
        <is>
          <t xml:space="preserve">Offensiv</t>
        </is>
      </c>
      <c r="E12">
        <v>9</v>
      </c>
    </row>
    <row r="13">
      <c r="A13" t="inlineStr">
        <is>
          <t xml:space="preserve">r020</t>
        </is>
      </c>
      <c r="B13" t="inlineStr">
        <is>
          <t xml:space="preserve">Gerald Pollak</t>
        </is>
      </c>
      <c r="C13" t="inlineStr">
        <is>
          <t xml:space="preserve">Post SV Mühlhausen</t>
        </is>
      </c>
      <c r="D13" t="inlineStr">
        <is>
          <t xml:space="preserve">Allrounder</t>
        </is>
      </c>
      <c r="E13">
        <v>8</v>
      </c>
    </row>
    <row r="14">
      <c r="A14" t="inlineStr">
        <is>
          <t xml:space="preserve">r021</t>
        </is>
      </c>
      <c r="B14" t="inlineStr">
        <is>
          <t xml:space="preserve">Andreas Levenko</t>
        </is>
      </c>
      <c r="C14" t="inlineStr">
        <is>
          <t xml:space="preserve">TTC Fulda-Maberzell</t>
        </is>
      </c>
      <c r="D14" t="inlineStr">
        <is>
          <t xml:space="preserve">Allrounder</t>
        </is>
      </c>
      <c r="E14">
        <v>10</v>
      </c>
    </row>
    <row r="15">
      <c r="A15" t="inlineStr">
        <is>
          <t xml:space="preserve">r014</t>
        </is>
      </c>
      <c r="B15" t="inlineStr">
        <is>
          <t xml:space="preserve">Ruwen Filus</t>
        </is>
      </c>
      <c r="C15" t="inlineStr">
        <is>
          <t xml:space="preserve">TTC Fulda-Maberzell</t>
        </is>
      </c>
      <c r="D15" t="inlineStr">
        <is>
          <t xml:space="preserve">Abwehr</t>
        </is>
      </c>
      <c r="E15">
        <v>12</v>
      </c>
    </row>
    <row r="16">
      <c r="A16" t="inlineStr">
        <is>
          <t xml:space="preserve">r024</t>
        </is>
      </c>
      <c r="B16" t="inlineStr">
        <is>
          <t xml:space="preserve">Vladimir Sidorenko</t>
        </is>
      </c>
      <c r="C16" t="inlineStr">
        <is>
          <t xml:space="preserve">TTC Fulda-Maberzell</t>
        </is>
      </c>
      <c r="D16" t="inlineStr">
        <is>
          <t xml:space="preserve">Allrounder</t>
        </is>
      </c>
      <c r="E16">
        <v>11</v>
      </c>
    </row>
    <row r="17">
      <c r="A17" t="inlineStr">
        <is>
          <t xml:space="preserve">r002</t>
        </is>
      </c>
      <c r="B17" t="inlineStr">
        <is>
          <t xml:space="preserve">Dimitrij Ovtcharov</t>
        </is>
      </c>
      <c r="C17" t="inlineStr">
        <is>
          <t xml:space="preserve">TTC Neu-Ulm</t>
        </is>
      </c>
      <c r="D17" t="inlineStr">
        <is>
          <t xml:space="preserve">Offensiv</t>
        </is>
      </c>
      <c r="E17">
        <v>27</v>
      </c>
    </row>
    <row r="18">
      <c r="A18" t="inlineStr">
        <is>
          <t xml:space="preserve">r005</t>
        </is>
      </c>
      <c r="B18" t="inlineStr">
        <is>
          <t xml:space="preserve">Kay Stumper</t>
        </is>
      </c>
      <c r="C18" t="inlineStr">
        <is>
          <t xml:space="preserve">TTC Neu-Ulm</t>
        </is>
      </c>
      <c r="D18" t="inlineStr">
        <is>
          <t xml:space="preserve">Allrounder</t>
        </is>
      </c>
      <c r="E18">
        <v>18</v>
      </c>
    </row>
    <row r="19">
      <c r="A19" t="inlineStr">
        <is>
          <t xml:space="preserve">r015</t>
        </is>
      </c>
      <c r="B19" t="inlineStr">
        <is>
          <t xml:space="preserve">Mattias Falck</t>
        </is>
      </c>
      <c r="C19" t="inlineStr">
        <is>
          <t xml:space="preserve">TTC Neu-Ulm</t>
        </is>
      </c>
      <c r="D19" t="inlineStr">
        <is>
          <t xml:space="preserve">Offensiv</t>
        </is>
      </c>
      <c r="E19">
        <v>20</v>
      </c>
    </row>
    <row r="20">
      <c r="A20" t="inlineStr">
        <is>
          <t xml:space="preserve">r008</t>
        </is>
      </c>
      <c r="B20" t="inlineStr">
        <is>
          <t xml:space="preserve">Ricardo Walther</t>
        </is>
      </c>
      <c r="C20" t="inlineStr">
        <is>
          <t xml:space="preserve">TTC Neu-Ulm</t>
        </is>
      </c>
      <c r="D20" t="inlineStr">
        <is>
          <t xml:space="preserve">Allrounder</t>
        </is>
      </c>
      <c r="E20">
        <v>16</v>
      </c>
    </row>
    <row r="21">
      <c r="A21" t="inlineStr">
        <is>
          <t xml:space="preserve">r011</t>
        </is>
      </c>
      <c r="B21" t="inlineStr">
        <is>
          <t xml:space="preserve">Fan Bo Meng</t>
        </is>
      </c>
      <c r="C21" t="inlineStr">
        <is>
          <t xml:space="preserve">TTF Liebherr Ochsenhausen</t>
        </is>
      </c>
      <c r="D21" t="inlineStr">
        <is>
          <t xml:space="preserve">Offensiv</t>
        </is>
      </c>
      <c r="E21">
        <v>15</v>
      </c>
    </row>
    <row r="22">
      <c r="A22" t="inlineStr">
        <is>
          <t xml:space="preserve">r023</t>
        </is>
      </c>
      <c r="B22" t="inlineStr">
        <is>
          <t xml:space="preserve">Hugo Calderano</t>
        </is>
      </c>
      <c r="C22" t="inlineStr">
        <is>
          <t xml:space="preserve">TTF Liebherr Ochsenhausen</t>
        </is>
      </c>
      <c r="D22" t="inlineStr">
        <is>
          <t xml:space="preserve">Offensiv</t>
        </is>
      </c>
      <c r="E22">
        <v>26</v>
      </c>
    </row>
    <row r="23">
      <c r="A23" t="inlineStr">
        <is>
          <t xml:space="preserve">r012</t>
        </is>
      </c>
      <c r="B23" t="inlineStr">
        <is>
          <t xml:space="preserve">Kirill Gerassimenko</t>
        </is>
      </c>
      <c r="C23" t="inlineStr">
        <is>
          <t xml:space="preserve">TTF Liebherr Ochsenhausen</t>
        </is>
      </c>
      <c r="D23" t="inlineStr">
        <is>
          <t xml:space="preserve">Offensiv</t>
        </is>
      </c>
      <c r="E23">
        <v>15</v>
      </c>
    </row>
    <row r="24">
      <c r="A24" t="inlineStr">
        <is>
          <t xml:space="preserve">r013</t>
        </is>
      </c>
      <c r="B24" t="inlineStr">
        <is>
          <t xml:space="preserve">Steffen Mengel</t>
        </is>
      </c>
      <c r="C24" t="inlineStr">
        <is>
          <t xml:space="preserve">TTF Liebherr Ochsenhausen</t>
        </is>
      </c>
      <c r="D24" t="inlineStr">
        <is>
          <t xml:space="preserve">Abwehr</t>
        </is>
      </c>
      <c r="E24">
        <v>11</v>
      </c>
    </row>
    <row r="25">
      <c r="A25" t="inlineStr">
        <is>
          <t xml:space="preserve">r018</t>
        </is>
      </c>
      <c r="B25" t="inlineStr">
        <is>
          <t xml:space="preserve">Tom Closset</t>
        </is>
      </c>
      <c r="C25" t="inlineStr">
        <is>
          <t xml:space="preserve">TTF Liebherr Ochsenhausen</t>
        </is>
      </c>
      <c r="D25" t="inlineStr">
        <is>
          <t xml:space="preserve">Offensiv</t>
        </is>
      </c>
      <c r="E25">
        <v>13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club</t>
        </is>
      </c>
      <c r="D1" t="inlineStr">
        <is>
          <t xml:space="preserve">MD1</t>
        </is>
      </c>
      <c r="E1" t="inlineStr">
        <is>
          <t xml:space="preserve">MD2</t>
        </is>
      </c>
      <c r="F1" t="inlineStr">
        <is>
          <t xml:space="preserve">MD3</t>
        </is>
      </c>
      <c r="G1" t="inlineStr">
        <is>
          <t xml:space="preserve">MD4</t>
        </is>
      </c>
      <c r="H1" t="inlineStr">
        <is>
          <t xml:space="preserve">MD5</t>
        </is>
      </c>
      <c r="I1" t="inlineStr">
        <is>
          <t xml:space="preserve">MD6</t>
        </is>
      </c>
      <c r="J1" t="inlineStr">
        <is>
          <t xml:space="preserve">MD7</t>
        </is>
      </c>
      <c r="K1" t="inlineStr">
        <is>
          <t xml:space="preserve">MD8</t>
        </is>
      </c>
      <c r="L1" t="inlineStr">
        <is>
          <t xml:space="preserve">MD9</t>
        </is>
      </c>
      <c r="M1" t="inlineStr">
        <is>
          <t xml:space="preserve">MD10</t>
        </is>
      </c>
      <c r="N1" t="inlineStr">
        <is>
          <t xml:space="preserve">MD11</t>
        </is>
      </c>
      <c r="O1" t="inlineStr">
        <is>
          <t xml:space="preserve">total</t>
        </is>
      </c>
    </row>
    <row r="2">
      <c r="A2" t="inlineStr">
        <is>
          <t xml:space="preserve">h007</t>
        </is>
      </c>
      <c r="B2" t="inlineStr">
        <is>
          <t xml:space="preserve">Darko Jorgic</t>
        </is>
      </c>
      <c r="C2" t="inlineStr">
        <is>
          <t xml:space="preserve">1. FC Saarbrücken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>SUM(D2:N2)</f>
      </c>
    </row>
    <row r="3">
      <c r="A3" t="inlineStr">
        <is>
          <t xml:space="preserve">h004</t>
        </is>
      </c>
      <c r="B3" t="inlineStr">
        <is>
          <t xml:space="preserve">Patrick Franziska</t>
        </is>
      </c>
      <c r="C3" t="inlineStr">
        <is>
          <t xml:space="preserve">1. FC Saarbrücken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f>SUM(D3:N3)</f>
      </c>
    </row>
    <row r="4">
      <c r="A4" t="inlineStr">
        <is>
          <t xml:space="preserve">h017</t>
        </is>
      </c>
      <c r="B4" t="inlineStr">
        <is>
          <t xml:space="preserve">Wang Yang</t>
        </is>
      </c>
      <c r="C4" t="inlineStr">
        <is>
          <t xml:space="preserve">1. FC Saarbrücken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>SUM(D4:N4)</f>
      </c>
    </row>
    <row r="5">
      <c r="A5" t="inlineStr">
        <is>
          <t xml:space="preserve">h010</t>
        </is>
      </c>
      <c r="B5" t="inlineStr">
        <is>
          <t xml:space="preserve">Benedikt Duda</t>
        </is>
      </c>
      <c r="C5" t="inlineStr">
        <is>
          <t xml:space="preserve">ASV Grünwettersbach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>SUM(D5:N5)</f>
      </c>
    </row>
    <row r="6">
      <c r="A6" t="inlineStr">
        <is>
          <t xml:space="preserve">h009</t>
        </is>
      </c>
      <c r="B6" t="inlineStr">
        <is>
          <t xml:space="preserve">Cedric Meissner</t>
        </is>
      </c>
      <c r="C6" t="inlineStr">
        <is>
          <t xml:space="preserve">ASV Grünwettersbach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>SUM(D6:N6)</f>
      </c>
    </row>
    <row r="7">
      <c r="A7" t="inlineStr">
        <is>
          <t xml:space="preserve">h019</t>
        </is>
      </c>
      <c r="B7" t="inlineStr">
        <is>
          <t xml:space="preserve">Daniel Rinderer</t>
        </is>
      </c>
      <c r="C7" t="inlineStr">
        <is>
          <t xml:space="preserve">ASV Grünwettersbach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>SUM(D7:N7)</f>
      </c>
    </row>
    <row r="8">
      <c r="A8" t="inlineStr">
        <is>
          <t xml:space="preserve">h006</t>
        </is>
      </c>
      <c r="B8" t="inlineStr">
        <is>
          <t xml:space="preserve">Anton Källberg</t>
        </is>
      </c>
      <c r="C8" t="inlineStr">
        <is>
          <t xml:space="preserve">Borussia Düsseldorf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>SUM(D8:N8)</f>
      </c>
    </row>
    <row r="9">
      <c r="A9" t="inlineStr">
        <is>
          <t xml:space="preserve">h001</t>
        </is>
      </c>
      <c r="B9" t="inlineStr">
        <is>
          <t xml:space="preserve">Dang Qiu</t>
        </is>
      </c>
      <c r="C9" t="inlineStr">
        <is>
          <t xml:space="preserve">Borussia Düsseldorf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>SUM(D9:N9)</f>
      </c>
    </row>
    <row r="10">
      <c r="A10" t="inlineStr">
        <is>
          <t xml:space="preserve">h016</t>
        </is>
      </c>
      <c r="B10" t="inlineStr">
        <is>
          <t xml:space="preserve">Lim Jonghoon</t>
        </is>
      </c>
      <c r="C10" t="inlineStr">
        <is>
          <t xml:space="preserve">Borussia Düsseldorf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SUM(D10:N10)</f>
      </c>
    </row>
    <row r="11">
      <c r="A11" t="inlineStr">
        <is>
          <t xml:space="preserve">h003</t>
        </is>
      </c>
      <c r="B11" t="inlineStr">
        <is>
          <t xml:space="preserve">Timo Boll</t>
        </is>
      </c>
      <c r="C11" t="inlineStr">
        <is>
          <t xml:space="preserve">Borussia Düsseldorf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>SUM(D11:N11)</f>
      </c>
    </row>
    <row r="12">
      <c r="A12" t="inlineStr">
        <is>
          <t xml:space="preserve">h022</t>
        </is>
      </c>
      <c r="B12" t="inlineStr">
        <is>
          <t xml:space="preserve">Filip Zeljko</t>
        </is>
      </c>
      <c r="C12" t="inlineStr">
        <is>
          <t xml:space="preserve">Post SV Mühlhausen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>SUM(D12:N12)</f>
      </c>
    </row>
    <row r="13">
      <c r="A13" t="inlineStr">
        <is>
          <t xml:space="preserve">h020</t>
        </is>
      </c>
      <c r="B13" t="inlineStr">
        <is>
          <t xml:space="preserve">Gerald Pollak</t>
        </is>
      </c>
      <c r="C13" t="inlineStr">
        <is>
          <t xml:space="preserve">Post SV Mühlhausen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>SUM(D13:N13)</f>
      </c>
    </row>
    <row r="14">
      <c r="A14" t="inlineStr">
        <is>
          <t xml:space="preserve">h013</t>
        </is>
      </c>
      <c r="B14" t="inlineStr">
        <is>
          <t xml:space="preserve">Steffen Mengel</t>
        </is>
      </c>
      <c r="C14" t="inlineStr">
        <is>
          <t xml:space="preserve">Post SV Mühlhausen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>SUM(D14:N14)</f>
      </c>
    </row>
    <row r="15">
      <c r="A15" t="inlineStr">
        <is>
          <t xml:space="preserve">h021</t>
        </is>
      </c>
      <c r="B15" t="inlineStr">
        <is>
          <t xml:space="preserve">Andreas Levenko</t>
        </is>
      </c>
      <c r="C15" t="inlineStr">
        <is>
          <t xml:space="preserve">TTC Fulda-Maberzell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>SUM(D15:N15)</f>
      </c>
    </row>
    <row r="16">
      <c r="A16" t="inlineStr">
        <is>
          <t xml:space="preserve">h014</t>
        </is>
      </c>
      <c r="B16" t="inlineStr">
        <is>
          <t xml:space="preserve">Ruwen Filus</t>
        </is>
      </c>
      <c r="C16" t="inlineStr">
        <is>
          <t xml:space="preserve">TTC Fulda-Maberzell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>SUM(D16:N16)</f>
      </c>
    </row>
    <row r="17">
      <c r="A17" t="inlineStr">
        <is>
          <t xml:space="preserve">h024</t>
        </is>
      </c>
      <c r="B17" t="inlineStr">
        <is>
          <t xml:space="preserve">Vladimir Sidorenko</t>
        </is>
      </c>
      <c r="C17" t="inlineStr">
        <is>
          <t xml:space="preserve">TTC Fulda-Maberzell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>SUM(D17:N17)</f>
      </c>
    </row>
    <row r="18">
      <c r="A18" t="inlineStr">
        <is>
          <t xml:space="preserve">h002</t>
        </is>
      </c>
      <c r="B18" t="inlineStr">
        <is>
          <t xml:space="preserve">Dimitrij Ovtcharov</t>
        </is>
      </c>
      <c r="C18" t="inlineStr">
        <is>
          <t xml:space="preserve">TTC Neu-Ulm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>SUM(D18:N18)</f>
      </c>
    </row>
    <row r="19">
      <c r="A19" t="inlineStr">
        <is>
          <t xml:space="preserve">h005</t>
        </is>
      </c>
      <c r="B19" t="inlineStr">
        <is>
          <t xml:space="preserve">Kay Stumper</t>
        </is>
      </c>
      <c r="C19" t="inlineStr">
        <is>
          <t xml:space="preserve">TTC Neu-Ulm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>SUM(D19:N19)</f>
      </c>
    </row>
    <row r="20">
      <c r="A20" t="inlineStr">
        <is>
          <t xml:space="preserve">h015</t>
        </is>
      </c>
      <c r="B20" t="inlineStr">
        <is>
          <t xml:space="preserve">Mattias Falck</t>
        </is>
      </c>
      <c r="C20" t="inlineStr">
        <is>
          <t xml:space="preserve">TTC Neu-Ulm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>SUM(D20:N20)</f>
      </c>
    </row>
    <row r="21">
      <c r="A21" t="inlineStr">
        <is>
          <t xml:space="preserve">h008</t>
        </is>
      </c>
      <c r="B21" t="inlineStr">
        <is>
          <t xml:space="preserve">Ricardo Walther</t>
        </is>
      </c>
      <c r="C21" t="inlineStr">
        <is>
          <t xml:space="preserve">TTC Neu-Ulm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SUM(D21:N21)</f>
      </c>
    </row>
    <row r="22">
      <c r="A22" t="inlineStr">
        <is>
          <t xml:space="preserve">h011</t>
        </is>
      </c>
      <c r="B22" t="inlineStr">
        <is>
          <t xml:space="preserve">Fan Bo Meng</t>
        </is>
      </c>
      <c r="C22" t="inlineStr">
        <is>
          <t xml:space="preserve">TTF Liebherr Ochsenhausen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>SUM(D22:N22)</f>
      </c>
    </row>
    <row r="23">
      <c r="A23" t="inlineStr">
        <is>
          <t xml:space="preserve">h023</t>
        </is>
      </c>
      <c r="B23" t="inlineStr">
        <is>
          <t xml:space="preserve">Hugo Calderano</t>
        </is>
      </c>
      <c r="C23" t="inlineStr">
        <is>
          <t xml:space="preserve">TTF Liebherr Ochsenhausen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>SUM(D23:N23)</f>
      </c>
    </row>
    <row r="24">
      <c r="A24" t="inlineStr">
        <is>
          <t xml:space="preserve">h012</t>
        </is>
      </c>
      <c r="B24" t="inlineStr">
        <is>
          <t xml:space="preserve">Kirill Gerassimenko</t>
        </is>
      </c>
      <c r="C24" t="inlineStr">
        <is>
          <t xml:space="preserve">TTF Liebherr Ochsenhausen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>SUM(D24:N24)</f>
      </c>
    </row>
    <row r="25">
      <c r="A25" t="inlineStr">
        <is>
          <t xml:space="preserve">h018</t>
        </is>
      </c>
      <c r="B25" t="inlineStr">
        <is>
          <t xml:space="preserve">Tom Closset</t>
        </is>
      </c>
      <c r="C25" t="inlineStr">
        <is>
          <t xml:space="preserve">TTF Liebherr Ochsenhausen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f>SUM(D25:N25)</f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club</t>
        </is>
      </c>
      <c r="D1" t="inlineStr">
        <is>
          <t xml:space="preserve">MD1</t>
        </is>
      </c>
      <c r="E1" t="inlineStr">
        <is>
          <t xml:space="preserve">MD2</t>
        </is>
      </c>
      <c r="F1" t="inlineStr">
        <is>
          <t xml:space="preserve">MD3</t>
        </is>
      </c>
      <c r="G1" t="inlineStr">
        <is>
          <t xml:space="preserve">MD4</t>
        </is>
      </c>
      <c r="H1" t="inlineStr">
        <is>
          <t xml:space="preserve">MD5</t>
        </is>
      </c>
      <c r="I1" t="inlineStr">
        <is>
          <t xml:space="preserve">MD6</t>
        </is>
      </c>
      <c r="J1" t="inlineStr">
        <is>
          <t xml:space="preserve">MD7</t>
        </is>
      </c>
      <c r="K1" t="inlineStr">
        <is>
          <t xml:space="preserve">MD8</t>
        </is>
      </c>
      <c r="L1" t="inlineStr">
        <is>
          <t xml:space="preserve">MD9</t>
        </is>
      </c>
      <c r="M1" t="inlineStr">
        <is>
          <t xml:space="preserve">MD10</t>
        </is>
      </c>
      <c r="N1" t="inlineStr">
        <is>
          <t xml:space="preserve">MD11</t>
        </is>
      </c>
      <c r="O1" t="inlineStr">
        <is>
          <t xml:space="preserve">total</t>
        </is>
      </c>
    </row>
    <row r="2">
      <c r="A2" t="inlineStr">
        <is>
          <t xml:space="preserve">r007</t>
        </is>
      </c>
      <c r="B2" t="inlineStr">
        <is>
          <t xml:space="preserve">Darko Jorgic</t>
        </is>
      </c>
      <c r="C2" t="inlineStr">
        <is>
          <t xml:space="preserve">1. FC Saarbrücken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>SUM(D2:N2)</f>
      </c>
    </row>
    <row r="3">
      <c r="A3" t="inlineStr">
        <is>
          <t xml:space="preserve">r004</t>
        </is>
      </c>
      <c r="B3" t="inlineStr">
        <is>
          <t xml:space="preserve">Patrick Franziska</t>
        </is>
      </c>
      <c r="C3" t="inlineStr">
        <is>
          <t xml:space="preserve">1. FC Saarbrücken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f>SUM(D3:N3)</f>
      </c>
    </row>
    <row r="4">
      <c r="A4" t="inlineStr">
        <is>
          <t xml:space="preserve">r017</t>
        </is>
      </c>
      <c r="B4" t="inlineStr">
        <is>
          <t xml:space="preserve">Wang Yang</t>
        </is>
      </c>
      <c r="C4" t="inlineStr">
        <is>
          <t xml:space="preserve">1. FC Saarbrücken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>SUM(D4:N4)</f>
      </c>
    </row>
    <row r="5">
      <c r="A5" t="inlineStr">
        <is>
          <t xml:space="preserve">r010</t>
        </is>
      </c>
      <c r="B5" t="inlineStr">
        <is>
          <t xml:space="preserve">Benedikt Duda</t>
        </is>
      </c>
      <c r="C5" t="inlineStr">
        <is>
          <t xml:space="preserve">ASV Grünwettersbach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>SUM(D5:N5)</f>
      </c>
    </row>
    <row r="6">
      <c r="A6" t="inlineStr">
        <is>
          <t xml:space="preserve">r019</t>
        </is>
      </c>
      <c r="B6" t="inlineStr">
        <is>
          <t xml:space="preserve">Daniel Rinderer</t>
        </is>
      </c>
      <c r="C6" t="inlineStr">
        <is>
          <t xml:space="preserve">ASV Grünwettersbach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>SUM(D6:N6)</f>
      </c>
    </row>
    <row r="7">
      <c r="A7" t="inlineStr">
        <is>
          <t xml:space="preserve">r006</t>
        </is>
      </c>
      <c r="B7" t="inlineStr">
        <is>
          <t xml:space="preserve">Anton Källberg</t>
        </is>
      </c>
      <c r="C7" t="inlineStr">
        <is>
          <t xml:space="preserve">Borussia Düsseldorf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>SUM(D7:N7)</f>
      </c>
    </row>
    <row r="8">
      <c r="A8" t="inlineStr">
        <is>
          <t xml:space="preserve">r009</t>
        </is>
      </c>
      <c r="B8" t="inlineStr">
        <is>
          <t xml:space="preserve">Cedric Meissner</t>
        </is>
      </c>
      <c r="C8" t="inlineStr">
        <is>
          <t xml:space="preserve">Borussia Düsseldorf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>SUM(D8:N8)</f>
      </c>
    </row>
    <row r="9">
      <c r="A9" t="inlineStr">
        <is>
          <t xml:space="preserve">r001</t>
        </is>
      </c>
      <c r="B9" t="inlineStr">
        <is>
          <t xml:space="preserve">Dang Qiu</t>
        </is>
      </c>
      <c r="C9" t="inlineStr">
        <is>
          <t xml:space="preserve">Borussia Düsseldorf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>SUM(D9:N9)</f>
      </c>
    </row>
    <row r="10">
      <c r="A10" t="inlineStr">
        <is>
          <t xml:space="preserve">r016</t>
        </is>
      </c>
      <c r="B10" t="inlineStr">
        <is>
          <t xml:space="preserve">Lim Jonghoon</t>
        </is>
      </c>
      <c r="C10" t="inlineStr">
        <is>
          <t xml:space="preserve">Borussia Düsseldorf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SUM(D10:N10)</f>
      </c>
    </row>
    <row r="11">
      <c r="A11" t="inlineStr">
        <is>
          <t xml:space="preserve">r003</t>
        </is>
      </c>
      <c r="B11" t="inlineStr">
        <is>
          <t xml:space="preserve">Timo Boll</t>
        </is>
      </c>
      <c r="C11" t="inlineStr">
        <is>
          <t xml:space="preserve">Borussia Düsseldorf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>SUM(D11:N11)</f>
      </c>
    </row>
    <row r="12">
      <c r="A12" t="inlineStr">
        <is>
          <t xml:space="preserve">r022</t>
        </is>
      </c>
      <c r="B12" t="inlineStr">
        <is>
          <t xml:space="preserve">Filip Zeljko</t>
        </is>
      </c>
      <c r="C12" t="inlineStr">
        <is>
          <t xml:space="preserve">Post SV Mühlhausen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>SUM(D12:N12)</f>
      </c>
    </row>
    <row r="13">
      <c r="A13" t="inlineStr">
        <is>
          <t xml:space="preserve">r020</t>
        </is>
      </c>
      <c r="B13" t="inlineStr">
        <is>
          <t xml:space="preserve">Gerald Pollak</t>
        </is>
      </c>
      <c r="C13" t="inlineStr">
        <is>
          <t xml:space="preserve">Post SV Mühlhausen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>SUM(D13:N13)</f>
      </c>
    </row>
    <row r="14">
      <c r="A14" t="inlineStr">
        <is>
          <t xml:space="preserve">r021</t>
        </is>
      </c>
      <c r="B14" t="inlineStr">
        <is>
          <t xml:space="preserve">Andreas Levenko</t>
        </is>
      </c>
      <c r="C14" t="inlineStr">
        <is>
          <t xml:space="preserve">TTC Fulda-Maberzell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>SUM(D14:N14)</f>
      </c>
    </row>
    <row r="15">
      <c r="A15" t="inlineStr">
        <is>
          <t xml:space="preserve">r014</t>
        </is>
      </c>
      <c r="B15" t="inlineStr">
        <is>
          <t xml:space="preserve">Ruwen Filus</t>
        </is>
      </c>
      <c r="C15" t="inlineStr">
        <is>
          <t xml:space="preserve">TTC Fulda-Maberzell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>SUM(D15:N15)</f>
      </c>
    </row>
    <row r="16">
      <c r="A16" t="inlineStr">
        <is>
          <t xml:space="preserve">r024</t>
        </is>
      </c>
      <c r="B16" t="inlineStr">
        <is>
          <t xml:space="preserve">Vladimir Sidorenko</t>
        </is>
      </c>
      <c r="C16" t="inlineStr">
        <is>
          <t xml:space="preserve">TTC Fulda-Maberzell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>SUM(D16:N16)</f>
      </c>
    </row>
    <row r="17">
      <c r="A17" t="inlineStr">
        <is>
          <t xml:space="preserve">r002</t>
        </is>
      </c>
      <c r="B17" t="inlineStr">
        <is>
          <t xml:space="preserve">Dimitrij Ovtcharov</t>
        </is>
      </c>
      <c r="C17" t="inlineStr">
        <is>
          <t xml:space="preserve">TTC Neu-Ulm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>SUM(D17:N17)</f>
      </c>
    </row>
    <row r="18">
      <c r="A18" t="inlineStr">
        <is>
          <t xml:space="preserve">r005</t>
        </is>
      </c>
      <c r="B18" t="inlineStr">
        <is>
          <t xml:space="preserve">Kay Stumper</t>
        </is>
      </c>
      <c r="C18" t="inlineStr">
        <is>
          <t xml:space="preserve">TTC Neu-Ulm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>SUM(D18:N18)</f>
      </c>
    </row>
    <row r="19">
      <c r="A19" t="inlineStr">
        <is>
          <t xml:space="preserve">r015</t>
        </is>
      </c>
      <c r="B19" t="inlineStr">
        <is>
          <t xml:space="preserve">Mattias Falck</t>
        </is>
      </c>
      <c r="C19" t="inlineStr">
        <is>
          <t xml:space="preserve">TTC Neu-Ulm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>SUM(D19:N19)</f>
      </c>
    </row>
    <row r="20">
      <c r="A20" t="inlineStr">
        <is>
          <t xml:space="preserve">r008</t>
        </is>
      </c>
      <c r="B20" t="inlineStr">
        <is>
          <t xml:space="preserve">Ricardo Walther</t>
        </is>
      </c>
      <c r="C20" t="inlineStr">
        <is>
          <t xml:space="preserve">TTC Neu-Ulm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>SUM(D20:N20)</f>
      </c>
    </row>
    <row r="21">
      <c r="A21" t="inlineStr">
        <is>
          <t xml:space="preserve">r011</t>
        </is>
      </c>
      <c r="B21" t="inlineStr">
        <is>
          <t xml:space="preserve">Fan Bo Meng</t>
        </is>
      </c>
      <c r="C21" t="inlineStr">
        <is>
          <t xml:space="preserve">TTF Liebherr Ochsenhausen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SUM(D21:N21)</f>
      </c>
    </row>
    <row r="22">
      <c r="A22" t="inlineStr">
        <is>
          <t xml:space="preserve">r023</t>
        </is>
      </c>
      <c r="B22" t="inlineStr">
        <is>
          <t xml:space="preserve">Hugo Calderano</t>
        </is>
      </c>
      <c r="C22" t="inlineStr">
        <is>
          <t xml:space="preserve">TTF Liebherr Ochsenhausen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>SUM(D22:N22)</f>
      </c>
    </row>
    <row r="23">
      <c r="A23" t="inlineStr">
        <is>
          <t xml:space="preserve">r012</t>
        </is>
      </c>
      <c r="B23" t="inlineStr">
        <is>
          <t xml:space="preserve">Kirill Gerassimenko</t>
        </is>
      </c>
      <c r="C23" t="inlineStr">
        <is>
          <t xml:space="preserve">TTF Liebherr Ochsenhausen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>SUM(D23:N23)</f>
      </c>
    </row>
    <row r="24">
      <c r="A24" t="inlineStr">
        <is>
          <t xml:space="preserve">r013</t>
        </is>
      </c>
      <c r="B24" t="inlineStr">
        <is>
          <t xml:space="preserve">Steffen Mengel</t>
        </is>
      </c>
      <c r="C24" t="inlineStr">
        <is>
          <t xml:space="preserve">TTF Liebherr Ochsenhausen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>SUM(D24:N24)</f>
      </c>
    </row>
    <row r="25">
      <c r="A25" t="inlineStr">
        <is>
          <t xml:space="preserve">r018</t>
        </is>
      </c>
      <c r="B25" t="inlineStr">
        <is>
          <t xml:space="preserve">Tom Closset</t>
        </is>
      </c>
      <c r="C25" t="inlineStr">
        <is>
          <t xml:space="preserve">TTF Liebherr Ochsenhausen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f>SUM(D25:N25)</f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teamName</t>
        </is>
      </c>
      <c r="C1" t="inlineStr">
        <is>
          <t xml:space="preserve">total</t>
        </is>
      </c>
    </row>
    <row r="2">
      <c r="A2">
        <f>ARRAYFORMULA(IF($B$2:$B$1001="","",SCAN(0,$B$2:$B$1001,LAMBDA(acc,v,IF(v="",acc,acc+1)))))</f>
      </c>
      <c r="B2">
        <f>IFERROR(LET(act,MAP(Submissions!$C$2:$C$1001,Submissions!$L$2:$L$1001,Submissions!$N$2:$N$1001,LAMBDA(tn,cf,ss,IF(tn="",FALSE,IF(AND(cf=TRUE,ss&lt;&gt;TRUE),TRUE,FALSE)))),eml,IF(act=TRUE,Submissions!$B$2:$B$1001,""),tot,IF(act=TRUE,IF(Submissions!$D$2:$D$1001="HIN",BYROW(Submissions!$E$2:$J$1001,LAMBDA(row,IF(INDEX(row,1,1)="",0,SUMPRODUCT(IFERROR(XLOOKUP(row,Scores_Hin!$A$2:$A$25,Scores_Hin!$O$2:$O$25),0))))),IF(Submissions!$D$2:$D$1001="RUECK",BYROW(Submissions!$E$2:$J$1001,LAMBDA(row,IF(INDEX(row,1,1)="",0,SUMPRODUCT(IFERROR(XLOOKUP(row,Scores_Rueck!$A$2:$A$25,Scores_Rueck!$O$2:$O$25),0))))),0)),0),nm,IF(act=TRUE,Submissions!$C$2:$C$1001,""),sub,IF(act=TRUE,Submissions!$A$2:$A$1001,""),ue,UNIQUE(FILTER(eml,eml&lt;&gt;"")),uTot,MAP(ue,LAMBDA(e,SUMPRODUCT((eml=e)*IF(ISNUMBER(tot),tot,0)))),uName,MAP(ue,LAMBDA(e,INDEX(FILTER(nm,eml=e),1))),uEarl,MAP(ue,LAMBDA(e,MINIFS(sub,eml,e))),sorted,SORT(HSTACK(uName,uTot,uEarl),2,FALSE,3,TRUE,1,TRUE),INDEX(sorted,0,1)),"")</f>
      </c>
      <c r="C2">
        <f>IFERROR(LET(act,MAP(Submissions!$C$2:$C$1001,Submissions!$L$2:$L$1001,Submissions!$N$2:$N$1001,LAMBDA(tn,cf,ss,IF(tn="",FALSE,IF(AND(cf=TRUE,ss&lt;&gt;TRUE),TRUE,FALSE)))),eml,IF(act=TRUE,Submissions!$B$2:$B$1001,""),tot,IF(act=TRUE,IF(Submissions!$D$2:$D$1001="HIN",BYROW(Submissions!$E$2:$J$1001,LAMBDA(row,IF(INDEX(row,1,1)="",0,SUMPRODUCT(IFERROR(XLOOKUP(row,Scores_Hin!$A$2:$A$25,Scores_Hin!$O$2:$O$25),0))))),IF(Submissions!$D$2:$D$1001="RUECK",BYROW(Submissions!$E$2:$J$1001,LAMBDA(row,IF(INDEX(row,1,1)="",0,SUMPRODUCT(IFERROR(XLOOKUP(row,Scores_Rueck!$A$2:$A$25,Scores_Rueck!$O$2:$O$25),0))))),0)),0),nm,IF(act=TRUE,Submissions!$C$2:$C$1001,""),sub,IF(act=TRUE,Submissions!$A$2:$A$1001,""),ue,UNIQUE(FILTER(eml,eml&lt;&gt;"")),uTot,MAP(ue,LAMBDA(e,SUMPRODUCT((eml=e)*IF(ISNUMBER(tot),tot,0)))),uName,MAP(ue,LAMBDA(e,INDEX(FILTER(nm,eml=e),1))),uEarl,MAP(ue,LAMBDA(e,MINIFS(sub,eml,e))),sorted,SORT(HSTACK(uName,uTot,uEarl),2,FALSE,3,TRUE,1,TRUE),INDEX(sorted,0,2)),"")</f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teamName</t>
        </is>
      </c>
      <c r="C1" t="inlineStr">
        <is>
          <t xml:space="preserve">total</t>
        </is>
      </c>
      <c r="D1" t="inlineStr">
        <is>
          <t xml:space="preserve"/>
        </is>
      </c>
      <c r="E1" t="inlineStr">
        <is>
          <t xml:space="preserve">active</t>
        </is>
      </c>
      <c r="F1" t="inlineStr">
        <is>
          <t xml:space="preserve">teamTotal</t>
        </is>
      </c>
      <c r="G1" t="inlineStr">
        <is>
          <t xml:space="preserve">submittedAt</t>
        </is>
      </c>
      <c r="H1" t="inlineStr">
        <is>
          <t xml:space="preserve">teamNameSrc</t>
        </is>
      </c>
    </row>
    <row r="2">
      <c r="A2">
        <f>ARRAYFORMULA(IF($B$2:$B$1001="","",SCAN(0,$B$2:$B$1001,LAMBDA(acc,v,IF(v="",acc,acc+1)))))</f>
      </c>
      <c r="B2">
        <f>IFERROR(INDEX(SORT(FILTER({$H$2:$H$1001,$F$2:$F$1001,$G$2:$G$1001},$E$2:$E$1001=TRUE),2,FALSE,3,TRUE,1,TRUE),0,1),"")</f>
      </c>
      <c r="C2">
        <f>IFERROR(INDEX(SORT(FILTER({$H$2:$H$1001,$F$2:$F$1001,$G$2:$G$1001},$E$2:$E$1001=TRUE),2,FALSE,3,TRUE,1,TRUE),0,2),"")</f>
      </c>
      <c r="D2" t="inlineStr">
        <is>
          <t xml:space="preserve"/>
        </is>
      </c>
      <c r="E2">
        <f>MAP(Submissions!$C$2:$C$1001,Submissions!$L$2:$L$1001,Submissions!$N$2:$N$1001,Submissions!$D$2:$D$1001,LAMBDA(tn,cf,ss,rd,IF(tn="",FALSE,IF(AND(cf=TRUE,ss&lt;&gt;TRUE,rd="HIN"),TRUE,FALSE))))</f>
      </c>
      <c r="F2">
        <f>BYROW(Submissions!$E$2:$J$1001,LAMBDA(row,IF(INDEX(row,1,1)="",0,SUMPRODUCT(IFERROR(XLOOKUP(row,Scores_Hin!$A$2:$A$25,Scores_Hin!$O$2:$O$25),0)))))</f>
      </c>
      <c r="G2">
        <f>ARRAYFORMULA(IF(Submissions!$C$2:$C$1001="","",Submissions!$A$2:$A$1001))</f>
      </c>
      <c r="H2">
        <f>ARRAYFORMULA(IF(Submissions!$C$2:$C$1001="","",Submissions!$C$2:$C$1001))</f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teamName</t>
        </is>
      </c>
      <c r="C1" t="inlineStr">
        <is>
          <t xml:space="preserve">total</t>
        </is>
      </c>
      <c r="D1" t="inlineStr">
        <is>
          <t xml:space="preserve"/>
        </is>
      </c>
      <c r="E1" t="inlineStr">
        <is>
          <t xml:space="preserve">active</t>
        </is>
      </c>
      <c r="F1" t="inlineStr">
        <is>
          <t xml:space="preserve">teamTotal</t>
        </is>
      </c>
      <c r="G1" t="inlineStr">
        <is>
          <t xml:space="preserve">submittedAt</t>
        </is>
      </c>
      <c r="H1" t="inlineStr">
        <is>
          <t xml:space="preserve">teamNameSrc</t>
        </is>
      </c>
    </row>
    <row r="2">
      <c r="A2">
        <f>ARRAYFORMULA(IF($B$2:$B$1001="","",SCAN(0,$B$2:$B$1001,LAMBDA(acc,v,IF(v="",acc,acc+1)))))</f>
      </c>
      <c r="B2">
        <f>IFERROR(INDEX(SORT(FILTER({$H$2:$H$1001,$F$2:$F$1001,$G$2:$G$1001},$E$2:$E$1001=TRUE),2,FALSE,3,TRUE,1,TRUE),0,1),"")</f>
      </c>
      <c r="C2">
        <f>IFERROR(INDEX(SORT(FILTER({$H$2:$H$1001,$F$2:$F$1001,$G$2:$G$1001},$E$2:$E$1001=TRUE),2,FALSE,3,TRUE,1,TRUE),0,2),"")</f>
      </c>
      <c r="D2" t="inlineStr">
        <is>
          <t xml:space="preserve"/>
        </is>
      </c>
      <c r="E2">
        <f>MAP(Submissions!$C$2:$C$1001,Submissions!$L$2:$L$1001,Submissions!$N$2:$N$1001,Submissions!$D$2:$D$1001,LAMBDA(tn,cf,ss,rd,IF(tn="",FALSE,IF(AND(cf=TRUE,ss&lt;&gt;TRUE,rd="RUECK"),TRUE,FALSE))))</f>
      </c>
      <c r="F2">
        <f>BYROW(Submissions!$E$2:$J$1001,LAMBDA(row,IF(INDEX(row,1,1)="",0,SUMPRODUCT(IFERROR(XLOOKUP(row,Scores_Rueck!$A$2:$A$25,Scores_Rueck!$O$2:$O$25),0)))))</f>
      </c>
      <c r="G2">
        <f>ARRAYFORMULA(IF(Submissions!$C$2:$C$1001="","",Submissions!$A$2:$A$1001))</f>
      </c>
      <c r="H2">
        <f>ARRAYFORMULA(IF(Submissions!$C$2:$C$1001="","",Submissions!$C$2:$C$1001))</f>
      </c>
    </row>
  </sheetData>
</worksheet>
</file>